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yaj\Downloads\"/>
    </mc:Choice>
  </mc:AlternateContent>
  <xr:revisionPtr revIDLastSave="0" documentId="8_{91F3B5E4-B16C-4DEF-AA7A-66ADD4BF8B7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ver &amp; Guide" sheetId="1" r:id="rId1"/>
    <sheet name="Customer Response Tracker" sheetId="2" r:id="rId2"/>
    <sheet name="RFM Analysis" sheetId="3" r:id="rId3"/>
    <sheet name="Customer Segmentation" sheetId="4" r:id="rId4"/>
    <sheet name="At-Risk Analysis" sheetId="5" r:id="rId5"/>
    <sheet name="At-Risk Insights" sheetId="6" r:id="rId6"/>
    <sheet name="Retention Playbook" sheetId="7" r:id="rId7"/>
    <sheet name="Implementation &amp; Impact" sheetId="8" r:id="rId8"/>
    <sheet name="Field Visit Log" sheetId="9" r:id="rId9"/>
    <sheet name="Legend &amp; Notes" sheetId="10" r:id="rId10"/>
  </sheets>
  <definedNames>
    <definedName name="_xlnm._FilterDatabase" localSheetId="1" hidden="1">'Customer Response Tracker'!$A$4:$N$84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6" l="1"/>
  <c r="I18" i="6"/>
  <c r="G18" i="6"/>
  <c r="F18" i="6"/>
  <c r="H18" i="6" s="1"/>
  <c r="E18" i="6"/>
  <c r="J17" i="6"/>
  <c r="I17" i="6"/>
  <c r="G17" i="6"/>
  <c r="F17" i="6"/>
  <c r="H17" i="6" s="1"/>
  <c r="E17" i="6"/>
  <c r="J16" i="6"/>
  <c r="I16" i="6"/>
  <c r="G16" i="6"/>
  <c r="F16" i="6"/>
  <c r="H16" i="6" s="1"/>
  <c r="E16" i="6"/>
  <c r="J15" i="6"/>
  <c r="I15" i="6"/>
  <c r="G15" i="6"/>
  <c r="F15" i="6"/>
  <c r="H15" i="6" s="1"/>
  <c r="E15" i="6"/>
  <c r="J14" i="6"/>
  <c r="I14" i="6"/>
  <c r="G14" i="6"/>
  <c r="F14" i="6"/>
  <c r="H14" i="6" s="1"/>
  <c r="E14" i="6"/>
  <c r="J13" i="6"/>
  <c r="I13" i="6"/>
  <c r="G13" i="6"/>
  <c r="F13" i="6"/>
  <c r="H13" i="6" s="1"/>
  <c r="E13" i="6"/>
  <c r="J12" i="6"/>
  <c r="I12" i="6"/>
  <c r="G12" i="6"/>
  <c r="F12" i="6"/>
  <c r="H12" i="6" s="1"/>
  <c r="E12" i="6"/>
  <c r="J11" i="6"/>
  <c r="I11" i="6"/>
  <c r="G11" i="6"/>
  <c r="F11" i="6"/>
  <c r="H11" i="6" s="1"/>
  <c r="E11" i="6"/>
  <c r="J10" i="6"/>
  <c r="I10" i="6"/>
  <c r="G10" i="6"/>
  <c r="F10" i="6"/>
  <c r="H10" i="6" s="1"/>
  <c r="E10" i="6"/>
  <c r="J9" i="6"/>
  <c r="I9" i="6"/>
  <c r="G9" i="6"/>
  <c r="F9" i="6"/>
  <c r="H9" i="6" s="1"/>
  <c r="E9" i="6"/>
  <c r="J8" i="6"/>
  <c r="I8" i="6"/>
  <c r="G8" i="6"/>
  <c r="F8" i="6"/>
  <c r="H8" i="6" s="1"/>
  <c r="E8" i="6"/>
  <c r="J7" i="6"/>
  <c r="I7" i="6"/>
  <c r="G7" i="6"/>
  <c r="F7" i="6"/>
  <c r="H7" i="6" s="1"/>
  <c r="E7" i="6"/>
  <c r="J6" i="6"/>
  <c r="I6" i="6"/>
  <c r="G6" i="6"/>
  <c r="F6" i="6"/>
  <c r="H6" i="6" s="1"/>
  <c r="E6" i="6"/>
  <c r="J5" i="6"/>
  <c r="I5" i="6"/>
  <c r="G5" i="6"/>
  <c r="F5" i="6"/>
  <c r="H5" i="6" s="1"/>
  <c r="E5" i="6"/>
  <c r="C84" i="5"/>
  <c r="B84" i="5"/>
  <c r="A84" i="5"/>
  <c r="C83" i="5"/>
  <c r="B83" i="5"/>
  <c r="A83" i="5"/>
  <c r="C82" i="5"/>
  <c r="B82" i="5"/>
  <c r="A82" i="5"/>
  <c r="C81" i="5"/>
  <c r="C18" i="6" s="1"/>
  <c r="B81" i="5"/>
  <c r="B18" i="6" s="1"/>
  <c r="A81" i="5"/>
  <c r="A18" i="6" s="1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C74" i="5"/>
  <c r="C17" i="6" s="1"/>
  <c r="B74" i="5"/>
  <c r="B17" i="6" s="1"/>
  <c r="A74" i="5"/>
  <c r="A17" i="6" s="1"/>
  <c r="C73" i="5"/>
  <c r="B73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C68" i="5"/>
  <c r="B68" i="5"/>
  <c r="A68" i="5"/>
  <c r="C67" i="5"/>
  <c r="C16" i="6" s="1"/>
  <c r="B67" i="5"/>
  <c r="A67" i="5"/>
  <c r="A16" i="6" s="1"/>
  <c r="C66" i="5"/>
  <c r="B66" i="5"/>
  <c r="A66" i="5"/>
  <c r="C65" i="5"/>
  <c r="B65" i="5"/>
  <c r="A65" i="5"/>
  <c r="C64" i="5"/>
  <c r="B64" i="5"/>
  <c r="A64" i="5"/>
  <c r="C63" i="5"/>
  <c r="B63" i="5"/>
  <c r="A63" i="5"/>
  <c r="C62" i="5"/>
  <c r="B62" i="5"/>
  <c r="A62" i="5"/>
  <c r="C61" i="5"/>
  <c r="B61" i="5"/>
  <c r="A61" i="5"/>
  <c r="C60" i="5"/>
  <c r="C15" i="6" s="1"/>
  <c r="B60" i="5"/>
  <c r="B15" i="6" s="1"/>
  <c r="A60" i="5"/>
  <c r="A15" i="6" s="1"/>
  <c r="C59" i="5"/>
  <c r="B59" i="5"/>
  <c r="A59" i="5"/>
  <c r="C58" i="5"/>
  <c r="B58" i="5"/>
  <c r="A58" i="5"/>
  <c r="C57" i="5"/>
  <c r="B57" i="5"/>
  <c r="A57" i="5"/>
  <c r="C56" i="5"/>
  <c r="B56" i="5"/>
  <c r="A56" i="5"/>
  <c r="C55" i="5"/>
  <c r="B55" i="5"/>
  <c r="A55" i="5"/>
  <c r="C54" i="5"/>
  <c r="C14" i="6" s="1"/>
  <c r="B54" i="5"/>
  <c r="B14" i="6" s="1"/>
  <c r="A54" i="5"/>
  <c r="A14" i="6" s="1"/>
  <c r="C53" i="5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C13" i="6" s="1"/>
  <c r="B48" i="5"/>
  <c r="A48" i="5"/>
  <c r="A13" i="6" s="1"/>
  <c r="C47" i="5"/>
  <c r="B47" i="5"/>
  <c r="A47" i="5"/>
  <c r="C46" i="5"/>
  <c r="B46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B12" i="6" s="1"/>
  <c r="A41" i="5"/>
  <c r="A12" i="6" s="1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C11" i="6" s="1"/>
  <c r="B35" i="5"/>
  <c r="A35" i="5"/>
  <c r="A11" i="6" s="1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C10" i="6" s="1"/>
  <c r="B29" i="5"/>
  <c r="A29" i="5"/>
  <c r="A10" i="6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C9" i="6" s="1"/>
  <c r="B24" i="5"/>
  <c r="A24" i="5"/>
  <c r="A9" i="6" s="1"/>
  <c r="C23" i="5"/>
  <c r="B23" i="5"/>
  <c r="A23" i="5"/>
  <c r="C22" i="5"/>
  <c r="B22" i="5"/>
  <c r="A22" i="5"/>
  <c r="C21" i="5"/>
  <c r="B21" i="5"/>
  <c r="A21" i="5"/>
  <c r="C20" i="5"/>
  <c r="C8" i="6" s="1"/>
  <c r="B20" i="5"/>
  <c r="A20" i="5"/>
  <c r="A8" i="6" s="1"/>
  <c r="C19" i="5"/>
  <c r="B19" i="5"/>
  <c r="A19" i="5"/>
  <c r="C18" i="5"/>
  <c r="B18" i="5"/>
  <c r="A18" i="5"/>
  <c r="C17" i="5"/>
  <c r="B17" i="5"/>
  <c r="A17" i="5"/>
  <c r="C16" i="5"/>
  <c r="C7" i="6" s="1"/>
  <c r="B16" i="5"/>
  <c r="A16" i="5"/>
  <c r="A7" i="6" s="1"/>
  <c r="C15" i="5"/>
  <c r="B15" i="5"/>
  <c r="A15" i="5"/>
  <c r="C14" i="5"/>
  <c r="B14" i="5"/>
  <c r="A14" i="5"/>
  <c r="C13" i="5"/>
  <c r="B13" i="5"/>
  <c r="A13" i="5"/>
  <c r="C12" i="5"/>
  <c r="C6" i="6" s="1"/>
  <c r="B12" i="5"/>
  <c r="A12" i="5"/>
  <c r="A6" i="6" s="1"/>
  <c r="C11" i="5"/>
  <c r="B11" i="5"/>
  <c r="A11" i="5"/>
  <c r="C10" i="5"/>
  <c r="B10" i="5"/>
  <c r="A10" i="5"/>
  <c r="C9" i="5"/>
  <c r="B9" i="5"/>
  <c r="A9" i="5"/>
  <c r="C8" i="5"/>
  <c r="B8" i="5"/>
  <c r="A8" i="5"/>
  <c r="C7" i="5"/>
  <c r="C5" i="6" s="1"/>
  <c r="B7" i="5"/>
  <c r="A7" i="5"/>
  <c r="A5" i="6" s="1"/>
  <c r="C6" i="5"/>
  <c r="B6" i="5"/>
  <c r="A6" i="5"/>
  <c r="C5" i="5"/>
  <c r="B5" i="5"/>
  <c r="A5" i="5"/>
  <c r="G84" i="3"/>
  <c r="E84" i="3"/>
  <c r="B84" i="3"/>
  <c r="A84" i="3"/>
  <c r="A84" i="4" s="1"/>
  <c r="G83" i="3"/>
  <c r="E83" i="3"/>
  <c r="B83" i="3"/>
  <c r="D83" i="5" s="1"/>
  <c r="A83" i="3"/>
  <c r="A83" i="4" s="1"/>
  <c r="G82" i="3"/>
  <c r="E82" i="3"/>
  <c r="B82" i="3"/>
  <c r="A82" i="3"/>
  <c r="A82" i="4" s="1"/>
  <c r="G81" i="3"/>
  <c r="E81" i="3"/>
  <c r="B81" i="3"/>
  <c r="D81" i="5" s="1"/>
  <c r="A81" i="3"/>
  <c r="A81" i="4" s="1"/>
  <c r="G80" i="3"/>
  <c r="E80" i="3"/>
  <c r="B80" i="3"/>
  <c r="D80" i="5" s="1"/>
  <c r="A80" i="3"/>
  <c r="A80" i="4" s="1"/>
  <c r="G79" i="3"/>
  <c r="E79" i="3"/>
  <c r="B79" i="3"/>
  <c r="A79" i="3"/>
  <c r="A79" i="4" s="1"/>
  <c r="G78" i="3"/>
  <c r="E78" i="3"/>
  <c r="B78" i="3"/>
  <c r="D78" i="5" s="1"/>
  <c r="A78" i="3"/>
  <c r="A78" i="4" s="1"/>
  <c r="G77" i="3"/>
  <c r="E77" i="3"/>
  <c r="B77" i="3"/>
  <c r="D77" i="5" s="1"/>
  <c r="A77" i="3"/>
  <c r="A77" i="4" s="1"/>
  <c r="G76" i="3"/>
  <c r="E76" i="3"/>
  <c r="B76" i="3"/>
  <c r="D76" i="5" s="1"/>
  <c r="A76" i="3"/>
  <c r="A76" i="4" s="1"/>
  <c r="G75" i="3"/>
  <c r="E75" i="3"/>
  <c r="B75" i="3"/>
  <c r="D75" i="5" s="1"/>
  <c r="A75" i="3"/>
  <c r="A75" i="4" s="1"/>
  <c r="G74" i="3"/>
  <c r="E74" i="3"/>
  <c r="B74" i="3"/>
  <c r="A74" i="3"/>
  <c r="A74" i="4" s="1"/>
  <c r="G73" i="3"/>
  <c r="E73" i="3"/>
  <c r="B73" i="3"/>
  <c r="D73" i="5" s="1"/>
  <c r="A73" i="3"/>
  <c r="A73" i="4" s="1"/>
  <c r="G72" i="3"/>
  <c r="E72" i="3"/>
  <c r="B72" i="3"/>
  <c r="D72" i="5" s="1"/>
  <c r="A72" i="3"/>
  <c r="A72" i="4" s="1"/>
  <c r="G71" i="3"/>
  <c r="E71" i="3"/>
  <c r="B71" i="3"/>
  <c r="A71" i="3"/>
  <c r="A71" i="4" s="1"/>
  <c r="G70" i="3"/>
  <c r="E70" i="3"/>
  <c r="B70" i="3"/>
  <c r="D70" i="5" s="1"/>
  <c r="A70" i="3"/>
  <c r="A70" i="4" s="1"/>
  <c r="G69" i="3"/>
  <c r="E69" i="3"/>
  <c r="B69" i="3"/>
  <c r="C69" i="3" s="1"/>
  <c r="E69" i="5" s="1"/>
  <c r="A69" i="3"/>
  <c r="A69" i="4" s="1"/>
  <c r="G68" i="3"/>
  <c r="E68" i="3"/>
  <c r="B68" i="3"/>
  <c r="D68" i="5" s="1"/>
  <c r="A68" i="3"/>
  <c r="A68" i="4" s="1"/>
  <c r="G67" i="3"/>
  <c r="E67" i="3"/>
  <c r="B67" i="3"/>
  <c r="D67" i="5" s="1"/>
  <c r="A67" i="3"/>
  <c r="A67" i="4" s="1"/>
  <c r="G66" i="3"/>
  <c r="E66" i="3"/>
  <c r="B66" i="3"/>
  <c r="A66" i="3"/>
  <c r="A66" i="4" s="1"/>
  <c r="G65" i="3"/>
  <c r="E65" i="3"/>
  <c r="B65" i="3"/>
  <c r="D65" i="5" s="1"/>
  <c r="A65" i="3"/>
  <c r="A65" i="4" s="1"/>
  <c r="G64" i="3"/>
  <c r="E64" i="3"/>
  <c r="B64" i="3"/>
  <c r="D64" i="5" s="1"/>
  <c r="A64" i="3"/>
  <c r="A64" i="4" s="1"/>
  <c r="G63" i="3"/>
  <c r="E63" i="3"/>
  <c r="B63" i="3"/>
  <c r="A63" i="3"/>
  <c r="A63" i="4" s="1"/>
  <c r="G62" i="3"/>
  <c r="E62" i="3"/>
  <c r="B62" i="3"/>
  <c r="D62" i="5" s="1"/>
  <c r="A62" i="3"/>
  <c r="A62" i="4" s="1"/>
  <c r="G61" i="3"/>
  <c r="E61" i="3"/>
  <c r="B61" i="3"/>
  <c r="D61" i="5" s="1"/>
  <c r="A61" i="3"/>
  <c r="A61" i="4" s="1"/>
  <c r="G60" i="3"/>
  <c r="E60" i="3"/>
  <c r="B60" i="3"/>
  <c r="D60" i="5" s="1"/>
  <c r="A60" i="3"/>
  <c r="A60" i="4" s="1"/>
  <c r="G59" i="3"/>
  <c r="E59" i="3"/>
  <c r="B59" i="3"/>
  <c r="D59" i="5" s="1"/>
  <c r="A59" i="3"/>
  <c r="A59" i="4" s="1"/>
  <c r="G58" i="3"/>
  <c r="E58" i="3"/>
  <c r="B58" i="3"/>
  <c r="D58" i="5" s="1"/>
  <c r="A58" i="3"/>
  <c r="A58" i="4" s="1"/>
  <c r="G57" i="3"/>
  <c r="E57" i="3"/>
  <c r="B57" i="3"/>
  <c r="D57" i="5" s="1"/>
  <c r="A57" i="3"/>
  <c r="A57" i="4" s="1"/>
  <c r="G56" i="3"/>
  <c r="E56" i="3"/>
  <c r="B56" i="3"/>
  <c r="D56" i="5" s="1"/>
  <c r="A56" i="3"/>
  <c r="A56" i="4" s="1"/>
  <c r="G55" i="3"/>
  <c r="E55" i="3"/>
  <c r="B55" i="3"/>
  <c r="D55" i="5" s="1"/>
  <c r="A55" i="3"/>
  <c r="A55" i="4" s="1"/>
  <c r="G54" i="3"/>
  <c r="E54" i="3"/>
  <c r="B54" i="3"/>
  <c r="D54" i="5" s="1"/>
  <c r="A54" i="3"/>
  <c r="A54" i="4" s="1"/>
  <c r="G53" i="3"/>
  <c r="E53" i="3"/>
  <c r="B53" i="3"/>
  <c r="C53" i="3" s="1"/>
  <c r="E53" i="5" s="1"/>
  <c r="A53" i="3"/>
  <c r="A53" i="4" s="1"/>
  <c r="G52" i="3"/>
  <c r="E52" i="3"/>
  <c r="B52" i="3"/>
  <c r="D52" i="5" s="1"/>
  <c r="A52" i="3"/>
  <c r="A52" i="4" s="1"/>
  <c r="G51" i="3"/>
  <c r="E51" i="3"/>
  <c r="B51" i="3"/>
  <c r="D51" i="5" s="1"/>
  <c r="A51" i="3"/>
  <c r="A51" i="4" s="1"/>
  <c r="G50" i="3"/>
  <c r="E50" i="3"/>
  <c r="B50" i="3"/>
  <c r="D50" i="5" s="1"/>
  <c r="A50" i="3"/>
  <c r="A50" i="4" s="1"/>
  <c r="G49" i="3"/>
  <c r="E49" i="3"/>
  <c r="B49" i="3"/>
  <c r="D49" i="5" s="1"/>
  <c r="A49" i="3"/>
  <c r="A49" i="4" s="1"/>
  <c r="G48" i="3"/>
  <c r="E48" i="3"/>
  <c r="B48" i="3"/>
  <c r="D48" i="5" s="1"/>
  <c r="A48" i="3"/>
  <c r="A48" i="4" s="1"/>
  <c r="G47" i="3"/>
  <c r="E47" i="3"/>
  <c r="B47" i="3"/>
  <c r="D47" i="5" s="1"/>
  <c r="A47" i="3"/>
  <c r="A47" i="4" s="1"/>
  <c r="G46" i="3"/>
  <c r="E46" i="3"/>
  <c r="B46" i="3"/>
  <c r="D46" i="5" s="1"/>
  <c r="A46" i="3"/>
  <c r="A46" i="4" s="1"/>
  <c r="G45" i="3"/>
  <c r="E45" i="3"/>
  <c r="B45" i="3"/>
  <c r="D45" i="5" s="1"/>
  <c r="A45" i="3"/>
  <c r="A45" i="4" s="1"/>
  <c r="G44" i="3"/>
  <c r="E44" i="3"/>
  <c r="B44" i="3"/>
  <c r="A44" i="3"/>
  <c r="A44" i="4" s="1"/>
  <c r="G43" i="3"/>
  <c r="E43" i="3"/>
  <c r="B43" i="3"/>
  <c r="D43" i="5" s="1"/>
  <c r="A43" i="3"/>
  <c r="A43" i="4" s="1"/>
  <c r="G42" i="3"/>
  <c r="E42" i="3"/>
  <c r="B42" i="3"/>
  <c r="D42" i="5" s="1"/>
  <c r="A42" i="3"/>
  <c r="A42" i="4" s="1"/>
  <c r="G41" i="3"/>
  <c r="E41" i="3"/>
  <c r="B41" i="3"/>
  <c r="D41" i="5" s="1"/>
  <c r="A41" i="3"/>
  <c r="A41" i="4" s="1"/>
  <c r="G40" i="3"/>
  <c r="E40" i="3"/>
  <c r="B40" i="3"/>
  <c r="D40" i="5" s="1"/>
  <c r="A40" i="3"/>
  <c r="A40" i="4" s="1"/>
  <c r="G39" i="3"/>
  <c r="E39" i="3"/>
  <c r="B39" i="3"/>
  <c r="D39" i="5" s="1"/>
  <c r="A39" i="3"/>
  <c r="A39" i="4" s="1"/>
  <c r="G38" i="3"/>
  <c r="E38" i="3"/>
  <c r="B38" i="3"/>
  <c r="D38" i="5" s="1"/>
  <c r="A38" i="3"/>
  <c r="A38" i="4" s="1"/>
  <c r="G37" i="3"/>
  <c r="E37" i="3"/>
  <c r="B37" i="3"/>
  <c r="C37" i="3" s="1"/>
  <c r="A37" i="3"/>
  <c r="A37" i="4" s="1"/>
  <c r="G36" i="3"/>
  <c r="E36" i="3"/>
  <c r="B36" i="3"/>
  <c r="D36" i="5" s="1"/>
  <c r="A36" i="3"/>
  <c r="A36" i="4" s="1"/>
  <c r="G35" i="3"/>
  <c r="E35" i="3"/>
  <c r="B35" i="3"/>
  <c r="D35" i="5" s="1"/>
  <c r="A35" i="3"/>
  <c r="A35" i="4" s="1"/>
  <c r="G34" i="3"/>
  <c r="E34" i="3"/>
  <c r="B34" i="3"/>
  <c r="D34" i="5" s="1"/>
  <c r="A34" i="3"/>
  <c r="A34" i="4" s="1"/>
  <c r="G33" i="3"/>
  <c r="E33" i="3"/>
  <c r="B33" i="3"/>
  <c r="D33" i="5" s="1"/>
  <c r="A33" i="3"/>
  <c r="A33" i="4" s="1"/>
  <c r="G32" i="3"/>
  <c r="E32" i="3"/>
  <c r="B32" i="3"/>
  <c r="D32" i="5" s="1"/>
  <c r="A32" i="3"/>
  <c r="A32" i="4" s="1"/>
  <c r="G31" i="3"/>
  <c r="E31" i="3"/>
  <c r="B31" i="3"/>
  <c r="D31" i="5" s="1"/>
  <c r="A31" i="3"/>
  <c r="A31" i="4" s="1"/>
  <c r="G30" i="3"/>
  <c r="E30" i="3"/>
  <c r="B30" i="3"/>
  <c r="D30" i="5" s="1"/>
  <c r="A30" i="3"/>
  <c r="A30" i="4" s="1"/>
  <c r="G29" i="3"/>
  <c r="E29" i="3"/>
  <c r="B29" i="3"/>
  <c r="D29" i="5" s="1"/>
  <c r="A29" i="3"/>
  <c r="A29" i="4" s="1"/>
  <c r="G28" i="3"/>
  <c r="E28" i="3"/>
  <c r="B28" i="3"/>
  <c r="D28" i="5" s="1"/>
  <c r="A28" i="3"/>
  <c r="A28" i="4" s="1"/>
  <c r="G27" i="3"/>
  <c r="E27" i="3"/>
  <c r="B27" i="3"/>
  <c r="D27" i="5" s="1"/>
  <c r="A27" i="3"/>
  <c r="A27" i="4" s="1"/>
  <c r="G26" i="3"/>
  <c r="E26" i="3"/>
  <c r="B26" i="3"/>
  <c r="D26" i="5" s="1"/>
  <c r="A26" i="3"/>
  <c r="A26" i="4" s="1"/>
  <c r="G25" i="3"/>
  <c r="E25" i="3"/>
  <c r="B25" i="3"/>
  <c r="D25" i="5" s="1"/>
  <c r="A25" i="3"/>
  <c r="A25" i="4" s="1"/>
  <c r="G24" i="3"/>
  <c r="E24" i="3"/>
  <c r="B24" i="3"/>
  <c r="D24" i="5" s="1"/>
  <c r="A24" i="3"/>
  <c r="A24" i="4" s="1"/>
  <c r="G23" i="3"/>
  <c r="E23" i="3"/>
  <c r="B23" i="3"/>
  <c r="D23" i="5" s="1"/>
  <c r="A23" i="3"/>
  <c r="A23" i="4" s="1"/>
  <c r="G22" i="3"/>
  <c r="E22" i="3"/>
  <c r="B22" i="3"/>
  <c r="D22" i="5" s="1"/>
  <c r="A22" i="3"/>
  <c r="A22" i="4" s="1"/>
  <c r="G21" i="3"/>
  <c r="E21" i="3"/>
  <c r="B21" i="3"/>
  <c r="D21" i="5" s="1"/>
  <c r="A21" i="3"/>
  <c r="A21" i="4" s="1"/>
  <c r="G20" i="3"/>
  <c r="E20" i="3"/>
  <c r="B20" i="3"/>
  <c r="D20" i="5" s="1"/>
  <c r="A20" i="3"/>
  <c r="A20" i="4" s="1"/>
  <c r="G19" i="3"/>
  <c r="E19" i="3"/>
  <c r="B19" i="3"/>
  <c r="D19" i="5" s="1"/>
  <c r="A19" i="3"/>
  <c r="A19" i="4" s="1"/>
  <c r="G18" i="3"/>
  <c r="E18" i="3"/>
  <c r="B18" i="3"/>
  <c r="D18" i="5" s="1"/>
  <c r="A18" i="3"/>
  <c r="A18" i="4" s="1"/>
  <c r="G17" i="3"/>
  <c r="E17" i="3"/>
  <c r="B17" i="3"/>
  <c r="D17" i="5" s="1"/>
  <c r="A17" i="3"/>
  <c r="A17" i="4" s="1"/>
  <c r="G16" i="3"/>
  <c r="E16" i="3"/>
  <c r="B16" i="3"/>
  <c r="D16" i="5" s="1"/>
  <c r="A16" i="3"/>
  <c r="A16" i="4" s="1"/>
  <c r="G15" i="3"/>
  <c r="E15" i="3"/>
  <c r="B15" i="3"/>
  <c r="D15" i="5" s="1"/>
  <c r="A15" i="3"/>
  <c r="A15" i="4" s="1"/>
  <c r="G14" i="3"/>
  <c r="E14" i="3"/>
  <c r="B14" i="3"/>
  <c r="D14" i="5" s="1"/>
  <c r="A14" i="3"/>
  <c r="A14" i="4" s="1"/>
  <c r="G13" i="3"/>
  <c r="E13" i="3"/>
  <c r="B13" i="3"/>
  <c r="D13" i="5" s="1"/>
  <c r="A13" i="3"/>
  <c r="A13" i="4" s="1"/>
  <c r="G12" i="3"/>
  <c r="E12" i="3"/>
  <c r="B12" i="3"/>
  <c r="D12" i="5" s="1"/>
  <c r="A12" i="3"/>
  <c r="A12" i="4" s="1"/>
  <c r="G11" i="3"/>
  <c r="E11" i="3"/>
  <c r="B11" i="3"/>
  <c r="C11" i="3" s="1"/>
  <c r="E11" i="5" s="1"/>
  <c r="A11" i="3"/>
  <c r="A11" i="4" s="1"/>
  <c r="G10" i="3"/>
  <c r="E10" i="3"/>
  <c r="B10" i="3"/>
  <c r="D10" i="5" s="1"/>
  <c r="A10" i="3"/>
  <c r="A10" i="4" s="1"/>
  <c r="G9" i="3"/>
  <c r="E9" i="3"/>
  <c r="B9" i="3"/>
  <c r="D9" i="5" s="1"/>
  <c r="A9" i="3"/>
  <c r="A9" i="4" s="1"/>
  <c r="G8" i="3"/>
  <c r="E8" i="3"/>
  <c r="B8" i="3"/>
  <c r="D8" i="5" s="1"/>
  <c r="A8" i="3"/>
  <c r="A8" i="4" s="1"/>
  <c r="G7" i="3"/>
  <c r="E7" i="3"/>
  <c r="B7" i="3"/>
  <c r="D7" i="5" s="1"/>
  <c r="A7" i="3"/>
  <c r="A7" i="4" s="1"/>
  <c r="G6" i="3"/>
  <c r="E6" i="3"/>
  <c r="B6" i="3"/>
  <c r="D6" i="5" s="1"/>
  <c r="A6" i="3"/>
  <c r="A6" i="4" s="1"/>
  <c r="G5" i="3"/>
  <c r="E5" i="3"/>
  <c r="B5" i="3"/>
  <c r="D5" i="5" s="1"/>
  <c r="A5" i="3"/>
  <c r="A5" i="4" s="1"/>
  <c r="I42" i="5" l="1"/>
  <c r="I5" i="5"/>
  <c r="I9" i="5"/>
  <c r="I13" i="5"/>
  <c r="I17" i="5"/>
  <c r="I21" i="5"/>
  <c r="I65" i="5"/>
  <c r="I73" i="5"/>
  <c r="I77" i="5"/>
  <c r="I52" i="5"/>
  <c r="I64" i="5"/>
  <c r="I72" i="5"/>
  <c r="I76" i="5"/>
  <c r="I84" i="5"/>
  <c r="C65" i="3"/>
  <c r="E65" i="5" s="1"/>
  <c r="G65" i="5" s="1"/>
  <c r="H65" i="5" s="1"/>
  <c r="I45" i="5"/>
  <c r="I23" i="5"/>
  <c r="I44" i="5"/>
  <c r="I47" i="5"/>
  <c r="I51" i="5"/>
  <c r="I55" i="5"/>
  <c r="I63" i="5"/>
  <c r="I71" i="5"/>
  <c r="I79" i="5"/>
  <c r="H6" i="3"/>
  <c r="E6" i="4" s="1"/>
  <c r="C81" i="3"/>
  <c r="E81" i="5" s="1"/>
  <c r="D18" i="6" s="1"/>
  <c r="I49" i="5"/>
  <c r="I57" i="5"/>
  <c r="I14" i="5"/>
  <c r="I28" i="5"/>
  <c r="I32" i="5"/>
  <c r="I36" i="5"/>
  <c r="I40" i="5"/>
  <c r="C73" i="3"/>
  <c r="E73" i="5" s="1"/>
  <c r="G73" i="5" s="1"/>
  <c r="H73" i="5" s="1"/>
  <c r="I61" i="5"/>
  <c r="I69" i="5"/>
  <c r="C76" i="3"/>
  <c r="E76" i="5" s="1"/>
  <c r="G76" i="5" s="1"/>
  <c r="H76" i="5" s="1"/>
  <c r="I27" i="5"/>
  <c r="I68" i="5"/>
  <c r="I81" i="5"/>
  <c r="J42" i="3"/>
  <c r="J43" i="3"/>
  <c r="I6" i="5"/>
  <c r="I10" i="5"/>
  <c r="I15" i="5"/>
  <c r="I18" i="5"/>
  <c r="I22" i="5"/>
  <c r="I26" i="5"/>
  <c r="I34" i="5"/>
  <c r="I39" i="5"/>
  <c r="I43" i="5"/>
  <c r="I53" i="5"/>
  <c r="I83" i="5"/>
  <c r="H59" i="3"/>
  <c r="E59" i="4" s="1"/>
  <c r="H10" i="3"/>
  <c r="E10" i="4" s="1"/>
  <c r="H18" i="3"/>
  <c r="E18" i="4" s="1"/>
  <c r="H26" i="3"/>
  <c r="E26" i="4" s="1"/>
  <c r="H34" i="3"/>
  <c r="E34" i="4" s="1"/>
  <c r="C68" i="3"/>
  <c r="E68" i="5" s="1"/>
  <c r="G68" i="5" s="1"/>
  <c r="H68" i="5" s="1"/>
  <c r="K15" i="3"/>
  <c r="H15" i="3"/>
  <c r="E15" i="4" s="1"/>
  <c r="H22" i="3"/>
  <c r="E22" i="4" s="1"/>
  <c r="H30" i="3"/>
  <c r="E30" i="4" s="1"/>
  <c r="H40" i="3"/>
  <c r="E40" i="4" s="1"/>
  <c r="H52" i="3"/>
  <c r="E52" i="4" s="1"/>
  <c r="H17" i="3"/>
  <c r="E17" i="4" s="1"/>
  <c r="K11" i="3"/>
  <c r="H11" i="3"/>
  <c r="E11" i="4" s="1"/>
  <c r="K19" i="3"/>
  <c r="H19" i="3"/>
  <c r="E19" i="4" s="1"/>
  <c r="K27" i="3"/>
  <c r="H27" i="3"/>
  <c r="E27" i="4" s="1"/>
  <c r="K35" i="3"/>
  <c r="H35" i="3"/>
  <c r="E35" i="4" s="1"/>
  <c r="K37" i="3"/>
  <c r="J38" i="3"/>
  <c r="J39" i="3"/>
  <c r="H44" i="3"/>
  <c r="E44" i="4" s="1"/>
  <c r="K45" i="3"/>
  <c r="H45" i="3"/>
  <c r="E45" i="4" s="1"/>
  <c r="J50" i="3"/>
  <c r="K60" i="3"/>
  <c r="H60" i="3"/>
  <c r="E60" i="4" s="1"/>
  <c r="G69" i="5"/>
  <c r="H69" i="5" s="1"/>
  <c r="H74" i="3"/>
  <c r="E74" i="4" s="1"/>
  <c r="D79" i="5"/>
  <c r="C79" i="3"/>
  <c r="E79" i="5" s="1"/>
  <c r="G79" i="5" s="1"/>
  <c r="H79" i="5" s="1"/>
  <c r="B10" i="6"/>
  <c r="I29" i="5"/>
  <c r="K7" i="3"/>
  <c r="H7" i="3"/>
  <c r="E7" i="4" s="1"/>
  <c r="H14" i="3"/>
  <c r="E14" i="4" s="1"/>
  <c r="K23" i="3"/>
  <c r="H23" i="3"/>
  <c r="E23" i="4" s="1"/>
  <c r="K31" i="3"/>
  <c r="H31" i="3"/>
  <c r="E31" i="4" s="1"/>
  <c r="E37" i="5"/>
  <c r="G37" i="5" s="1"/>
  <c r="H37" i="5" s="1"/>
  <c r="D37" i="3"/>
  <c r="C37" i="4" s="1"/>
  <c r="K41" i="3"/>
  <c r="J57" i="3"/>
  <c r="D63" i="5"/>
  <c r="C63" i="3"/>
  <c r="E63" i="5" s="1"/>
  <c r="G63" i="5" s="1"/>
  <c r="H63" i="5" s="1"/>
  <c r="K69" i="3"/>
  <c r="D74" i="5"/>
  <c r="C74" i="3"/>
  <c r="D84" i="5"/>
  <c r="C84" i="3"/>
  <c r="H9" i="3"/>
  <c r="E9" i="4" s="1"/>
  <c r="K10" i="3"/>
  <c r="J11" i="3"/>
  <c r="J12" i="3"/>
  <c r="K18" i="3"/>
  <c r="J19" i="3"/>
  <c r="J20" i="3"/>
  <c r="H25" i="3"/>
  <c r="E25" i="4" s="1"/>
  <c r="K26" i="3"/>
  <c r="J27" i="3"/>
  <c r="J28" i="3"/>
  <c r="H33" i="3"/>
  <c r="E33" i="4" s="1"/>
  <c r="K34" i="3"/>
  <c r="J35" i="3"/>
  <c r="J36" i="3"/>
  <c r="H41" i="3"/>
  <c r="E41" i="4" s="1"/>
  <c r="K42" i="3"/>
  <c r="H42" i="3"/>
  <c r="E42" i="4" s="1"/>
  <c r="J46" i="3"/>
  <c r="H55" i="3"/>
  <c r="E55" i="4" s="1"/>
  <c r="K56" i="3"/>
  <c r="H56" i="3"/>
  <c r="E56" i="4" s="1"/>
  <c r="J61" i="3"/>
  <c r="D66" i="5"/>
  <c r="C66" i="3"/>
  <c r="H82" i="3"/>
  <c r="E82" i="4" s="1"/>
  <c r="D37" i="5"/>
  <c r="I41" i="5"/>
  <c r="C12" i="6"/>
  <c r="B24" i="6" s="1"/>
  <c r="B14" i="8" s="1"/>
  <c r="H5" i="3"/>
  <c r="E5" i="4" s="1"/>
  <c r="K6" i="3"/>
  <c r="J7" i="3"/>
  <c r="J8" i="3"/>
  <c r="H13" i="3"/>
  <c r="E13" i="4" s="1"/>
  <c r="K14" i="3"/>
  <c r="J15" i="3"/>
  <c r="J16" i="3"/>
  <c r="H21" i="3"/>
  <c r="E21" i="4" s="1"/>
  <c r="K22" i="3"/>
  <c r="J23" i="3"/>
  <c r="J24" i="3"/>
  <c r="H29" i="3"/>
  <c r="E29" i="4" s="1"/>
  <c r="K30" i="3"/>
  <c r="J31" i="3"/>
  <c r="J32" i="3"/>
  <c r="H37" i="3"/>
  <c r="E37" i="4" s="1"/>
  <c r="K38" i="3"/>
  <c r="H38" i="3"/>
  <c r="E38" i="4" s="1"/>
  <c r="C44" i="3"/>
  <c r="E44" i="5" s="1"/>
  <c r="G44" i="5" s="1"/>
  <c r="H44" i="5" s="1"/>
  <c r="D44" i="5"/>
  <c r="H48" i="3"/>
  <c r="E48" i="4" s="1"/>
  <c r="K49" i="3"/>
  <c r="H49" i="3"/>
  <c r="E49" i="4" s="1"/>
  <c r="J53" i="3"/>
  <c r="H66" i="3"/>
  <c r="E66" i="4" s="1"/>
  <c r="D71" i="5"/>
  <c r="C71" i="3"/>
  <c r="E71" i="5" s="1"/>
  <c r="G71" i="5" s="1"/>
  <c r="H71" i="5" s="1"/>
  <c r="K77" i="3"/>
  <c r="D82" i="5"/>
  <c r="C82" i="3"/>
  <c r="J47" i="3"/>
  <c r="K50" i="3"/>
  <c r="J51" i="3"/>
  <c r="K53" i="3"/>
  <c r="J58" i="3"/>
  <c r="K61" i="3"/>
  <c r="H64" i="3"/>
  <c r="E64" i="4" s="1"/>
  <c r="K67" i="3"/>
  <c r="H72" i="3"/>
  <c r="E72" i="4" s="1"/>
  <c r="K75" i="3"/>
  <c r="H80" i="3"/>
  <c r="E80" i="4" s="1"/>
  <c r="I19" i="5"/>
  <c r="D69" i="5"/>
  <c r="I23" i="6"/>
  <c r="K46" i="3"/>
  <c r="J54" i="3"/>
  <c r="K57" i="3"/>
  <c r="J5" i="3"/>
  <c r="K8" i="3"/>
  <c r="J9" i="3"/>
  <c r="K12" i="3"/>
  <c r="J13" i="3"/>
  <c r="K16" i="3"/>
  <c r="J17" i="3"/>
  <c r="K20" i="3"/>
  <c r="J21" i="3"/>
  <c r="K24" i="3"/>
  <c r="J25" i="3"/>
  <c r="K28" i="3"/>
  <c r="J29" i="3"/>
  <c r="K32" i="3"/>
  <c r="J33" i="3"/>
  <c r="K36" i="3"/>
  <c r="K39" i="3"/>
  <c r="J40" i="3"/>
  <c r="K43" i="3"/>
  <c r="J44" i="3"/>
  <c r="H46" i="3"/>
  <c r="E46" i="4" s="1"/>
  <c r="K47" i="3"/>
  <c r="J48" i="3"/>
  <c r="H50" i="3"/>
  <c r="E50" i="4" s="1"/>
  <c r="K51" i="3"/>
  <c r="J52" i="3"/>
  <c r="G53" i="5"/>
  <c r="H53" i="5" s="1"/>
  <c r="H53" i="3"/>
  <c r="E53" i="4" s="1"/>
  <c r="K54" i="3"/>
  <c r="J55" i="3"/>
  <c r="H57" i="3"/>
  <c r="E57" i="4" s="1"/>
  <c r="K58" i="3"/>
  <c r="J59" i="3"/>
  <c r="H61" i="3"/>
  <c r="E61" i="4" s="1"/>
  <c r="H62" i="3"/>
  <c r="E62" i="4" s="1"/>
  <c r="C64" i="3"/>
  <c r="C72" i="3"/>
  <c r="C77" i="3"/>
  <c r="E77" i="5" s="1"/>
  <c r="G77" i="5" s="1"/>
  <c r="H77" i="5" s="1"/>
  <c r="C80" i="3"/>
  <c r="I33" i="5"/>
  <c r="D53" i="5"/>
  <c r="B30" i="6"/>
  <c r="B17" i="8" s="1"/>
  <c r="K5" i="3"/>
  <c r="J6" i="3"/>
  <c r="H8" i="3"/>
  <c r="E8" i="4" s="1"/>
  <c r="K9" i="3"/>
  <c r="J10" i="3"/>
  <c r="G11" i="5"/>
  <c r="H11" i="5" s="1"/>
  <c r="H12" i="3"/>
  <c r="E12" i="4" s="1"/>
  <c r="K13" i="3"/>
  <c r="J14" i="3"/>
  <c r="H16" i="3"/>
  <c r="E16" i="4" s="1"/>
  <c r="K17" i="3"/>
  <c r="J18" i="3"/>
  <c r="H20" i="3"/>
  <c r="E20" i="4" s="1"/>
  <c r="K21" i="3"/>
  <c r="J22" i="3"/>
  <c r="H24" i="3"/>
  <c r="E24" i="4" s="1"/>
  <c r="K25" i="3"/>
  <c r="J26" i="3"/>
  <c r="H28" i="3"/>
  <c r="E28" i="4" s="1"/>
  <c r="K29" i="3"/>
  <c r="J30" i="3"/>
  <c r="H32" i="3"/>
  <c r="E32" i="4" s="1"/>
  <c r="K33" i="3"/>
  <c r="J34" i="3"/>
  <c r="H36" i="3"/>
  <c r="E36" i="4" s="1"/>
  <c r="J37" i="3"/>
  <c r="H39" i="3"/>
  <c r="E39" i="4" s="1"/>
  <c r="K40" i="3"/>
  <c r="J41" i="3"/>
  <c r="H43" i="3"/>
  <c r="E43" i="4" s="1"/>
  <c r="K44" i="3"/>
  <c r="J45" i="3"/>
  <c r="H47" i="3"/>
  <c r="E47" i="4" s="1"/>
  <c r="K48" i="3"/>
  <c r="J49" i="3"/>
  <c r="H51" i="3"/>
  <c r="E51" i="4" s="1"/>
  <c r="K52" i="3"/>
  <c r="D53" i="3"/>
  <c r="C53" i="4" s="1"/>
  <c r="H54" i="3"/>
  <c r="E54" i="4" s="1"/>
  <c r="K55" i="3"/>
  <c r="J56" i="3"/>
  <c r="H58" i="3"/>
  <c r="E58" i="4" s="1"/>
  <c r="K59" i="3"/>
  <c r="J60" i="3"/>
  <c r="C67" i="3"/>
  <c r="E67" i="5" s="1"/>
  <c r="D16" i="6" s="1"/>
  <c r="C70" i="3"/>
  <c r="C75" i="3"/>
  <c r="E75" i="5" s="1"/>
  <c r="G75" i="5" s="1"/>
  <c r="H75" i="5" s="1"/>
  <c r="C78" i="3"/>
  <c r="C83" i="3"/>
  <c r="I8" i="5"/>
  <c r="D11" i="5"/>
  <c r="I25" i="5"/>
  <c r="I31" i="5"/>
  <c r="I37" i="5"/>
  <c r="I56" i="5"/>
  <c r="I80" i="5"/>
  <c r="E22" i="6"/>
  <c r="D11" i="3"/>
  <c r="K63" i="3"/>
  <c r="K76" i="3"/>
  <c r="K72" i="3"/>
  <c r="H63" i="3"/>
  <c r="E63" i="4" s="1"/>
  <c r="K62" i="3"/>
  <c r="H83" i="3"/>
  <c r="E83" i="4" s="1"/>
  <c r="K82" i="3"/>
  <c r="K80" i="3"/>
  <c r="K78" i="3"/>
  <c r="K74" i="3"/>
  <c r="K70" i="3"/>
  <c r="K68" i="3"/>
  <c r="K66" i="3"/>
  <c r="K64" i="3"/>
  <c r="K65" i="3"/>
  <c r="H70" i="3"/>
  <c r="E70" i="4" s="1"/>
  <c r="K73" i="3"/>
  <c r="H78" i="3"/>
  <c r="E78" i="4" s="1"/>
  <c r="K81" i="3"/>
  <c r="H68" i="3"/>
  <c r="E68" i="4" s="1"/>
  <c r="K71" i="3"/>
  <c r="H76" i="3"/>
  <c r="E76" i="4" s="1"/>
  <c r="K79" i="3"/>
  <c r="J68" i="3"/>
  <c r="F68" i="3"/>
  <c r="D68" i="4" s="1"/>
  <c r="H73" i="3"/>
  <c r="E73" i="4" s="1"/>
  <c r="J74" i="3"/>
  <c r="F74" i="3"/>
  <c r="D74" i="4" s="1"/>
  <c r="J78" i="3"/>
  <c r="F78" i="3"/>
  <c r="D78" i="4" s="1"/>
  <c r="F5" i="3"/>
  <c r="D5" i="4" s="1"/>
  <c r="F6" i="3"/>
  <c r="D6" i="4" s="1"/>
  <c r="F7" i="3"/>
  <c r="D7" i="4" s="1"/>
  <c r="F8" i="3"/>
  <c r="D8" i="4" s="1"/>
  <c r="F9" i="3"/>
  <c r="D9" i="4" s="1"/>
  <c r="F10" i="3"/>
  <c r="D10" i="4" s="1"/>
  <c r="F11" i="3"/>
  <c r="D11" i="4" s="1"/>
  <c r="F12" i="3"/>
  <c r="D12" i="4" s="1"/>
  <c r="F13" i="3"/>
  <c r="D13" i="4" s="1"/>
  <c r="F14" i="3"/>
  <c r="D14" i="4" s="1"/>
  <c r="F15" i="3"/>
  <c r="D15" i="4" s="1"/>
  <c r="F16" i="3"/>
  <c r="D16" i="4" s="1"/>
  <c r="F17" i="3"/>
  <c r="D17" i="4" s="1"/>
  <c r="F18" i="3"/>
  <c r="D18" i="4" s="1"/>
  <c r="F19" i="3"/>
  <c r="D19" i="4" s="1"/>
  <c r="F20" i="3"/>
  <c r="D20" i="4" s="1"/>
  <c r="F21" i="3"/>
  <c r="D21" i="4" s="1"/>
  <c r="F22" i="3"/>
  <c r="D22" i="4" s="1"/>
  <c r="F23" i="3"/>
  <c r="D23" i="4" s="1"/>
  <c r="F24" i="3"/>
  <c r="D24" i="4" s="1"/>
  <c r="F25" i="3"/>
  <c r="D25" i="4" s="1"/>
  <c r="F26" i="3"/>
  <c r="D26" i="4" s="1"/>
  <c r="F27" i="3"/>
  <c r="D27" i="4" s="1"/>
  <c r="F28" i="3"/>
  <c r="D28" i="4" s="1"/>
  <c r="F29" i="3"/>
  <c r="D29" i="4" s="1"/>
  <c r="F30" i="3"/>
  <c r="D30" i="4" s="1"/>
  <c r="F31" i="3"/>
  <c r="D31" i="4" s="1"/>
  <c r="F32" i="3"/>
  <c r="D32" i="4" s="1"/>
  <c r="F33" i="3"/>
  <c r="D33" i="4" s="1"/>
  <c r="F34" i="3"/>
  <c r="D34" i="4" s="1"/>
  <c r="F35" i="3"/>
  <c r="D35" i="4" s="1"/>
  <c r="F36" i="3"/>
  <c r="D36" i="4" s="1"/>
  <c r="F37" i="3"/>
  <c r="D37" i="4" s="1"/>
  <c r="F38" i="3"/>
  <c r="D38" i="4" s="1"/>
  <c r="F39" i="3"/>
  <c r="D39" i="4" s="1"/>
  <c r="F40" i="3"/>
  <c r="D40" i="4" s="1"/>
  <c r="F41" i="3"/>
  <c r="D41" i="4" s="1"/>
  <c r="F42" i="3"/>
  <c r="D42" i="4" s="1"/>
  <c r="F43" i="3"/>
  <c r="D43" i="4" s="1"/>
  <c r="F44" i="3"/>
  <c r="D44" i="4" s="1"/>
  <c r="F45" i="3"/>
  <c r="D45" i="4" s="1"/>
  <c r="F46" i="3"/>
  <c r="D46" i="4" s="1"/>
  <c r="F47" i="3"/>
  <c r="D47" i="4" s="1"/>
  <c r="F48" i="3"/>
  <c r="D48" i="4" s="1"/>
  <c r="F49" i="3"/>
  <c r="D49" i="4" s="1"/>
  <c r="F50" i="3"/>
  <c r="D50" i="4" s="1"/>
  <c r="F51" i="3"/>
  <c r="D51" i="4" s="1"/>
  <c r="F52" i="3"/>
  <c r="D52" i="4" s="1"/>
  <c r="F53" i="3"/>
  <c r="D53" i="4" s="1"/>
  <c r="F54" i="3"/>
  <c r="D54" i="4" s="1"/>
  <c r="F55" i="3"/>
  <c r="D55" i="4" s="1"/>
  <c r="F56" i="3"/>
  <c r="D56" i="4" s="1"/>
  <c r="F57" i="3"/>
  <c r="D57" i="4" s="1"/>
  <c r="F58" i="3"/>
  <c r="D58" i="4" s="1"/>
  <c r="F59" i="3"/>
  <c r="D59" i="4" s="1"/>
  <c r="F60" i="3"/>
  <c r="D60" i="4" s="1"/>
  <c r="F61" i="3"/>
  <c r="D61" i="4" s="1"/>
  <c r="D65" i="3"/>
  <c r="D69" i="3"/>
  <c r="H84" i="3"/>
  <c r="E84" i="4" s="1"/>
  <c r="I48" i="5"/>
  <c r="B13" i="6"/>
  <c r="K83" i="3"/>
  <c r="J84" i="3"/>
  <c r="F84" i="3"/>
  <c r="D84" i="4" s="1"/>
  <c r="J62" i="3"/>
  <c r="F62" i="3"/>
  <c r="D62" i="4" s="1"/>
  <c r="J64" i="3"/>
  <c r="F64" i="3"/>
  <c r="D64" i="4" s="1"/>
  <c r="H65" i="3"/>
  <c r="E65" i="4" s="1"/>
  <c r="J66" i="3"/>
  <c r="F66" i="3"/>
  <c r="D66" i="4" s="1"/>
  <c r="H67" i="3"/>
  <c r="E67" i="4" s="1"/>
  <c r="H69" i="3"/>
  <c r="E69" i="4" s="1"/>
  <c r="J70" i="3"/>
  <c r="F70" i="3"/>
  <c r="D70" i="4" s="1"/>
  <c r="H71" i="3"/>
  <c r="E71" i="4" s="1"/>
  <c r="J72" i="3"/>
  <c r="F72" i="3"/>
  <c r="D72" i="4" s="1"/>
  <c r="H75" i="3"/>
  <c r="E75" i="4" s="1"/>
  <c r="J76" i="3"/>
  <c r="F76" i="3"/>
  <c r="D76" i="4" s="1"/>
  <c r="H77" i="3"/>
  <c r="E77" i="4" s="1"/>
  <c r="H79" i="3"/>
  <c r="E79" i="4" s="1"/>
  <c r="J80" i="3"/>
  <c r="F80" i="3"/>
  <c r="D80" i="4" s="1"/>
  <c r="H81" i="3"/>
  <c r="E81" i="4" s="1"/>
  <c r="J82" i="3"/>
  <c r="F82" i="3"/>
  <c r="D82" i="4" s="1"/>
  <c r="K84" i="3"/>
  <c r="B28" i="6"/>
  <c r="B27" i="6"/>
  <c r="C5" i="3"/>
  <c r="C6" i="3"/>
  <c r="C7" i="3"/>
  <c r="C8" i="3"/>
  <c r="C9" i="3"/>
  <c r="C10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8" i="3"/>
  <c r="C39" i="3"/>
  <c r="C40" i="3"/>
  <c r="C41" i="3"/>
  <c r="C42" i="3"/>
  <c r="C43" i="3"/>
  <c r="C45" i="3"/>
  <c r="C46" i="3"/>
  <c r="C47" i="3"/>
  <c r="C48" i="3"/>
  <c r="C49" i="3"/>
  <c r="C50" i="3"/>
  <c r="C51" i="3"/>
  <c r="C52" i="3"/>
  <c r="C54" i="3"/>
  <c r="C55" i="3"/>
  <c r="C56" i="3"/>
  <c r="C57" i="3"/>
  <c r="C58" i="3"/>
  <c r="C59" i="3"/>
  <c r="C60" i="3"/>
  <c r="C61" i="3"/>
  <c r="C62" i="3"/>
  <c r="J63" i="3"/>
  <c r="F63" i="3"/>
  <c r="D63" i="4" s="1"/>
  <c r="J65" i="3"/>
  <c r="F65" i="3"/>
  <c r="D65" i="4" s="1"/>
  <c r="J67" i="3"/>
  <c r="F67" i="3"/>
  <c r="D67" i="4" s="1"/>
  <c r="J69" i="3"/>
  <c r="F69" i="3"/>
  <c r="D69" i="4" s="1"/>
  <c r="J71" i="3"/>
  <c r="F71" i="3"/>
  <c r="D71" i="4" s="1"/>
  <c r="J73" i="3"/>
  <c r="F73" i="3"/>
  <c r="D73" i="4" s="1"/>
  <c r="J75" i="3"/>
  <c r="F75" i="3"/>
  <c r="D75" i="4" s="1"/>
  <c r="J77" i="3"/>
  <c r="F77" i="3"/>
  <c r="D77" i="4" s="1"/>
  <c r="J79" i="3"/>
  <c r="F79" i="3"/>
  <c r="D79" i="4" s="1"/>
  <c r="J81" i="3"/>
  <c r="F81" i="3"/>
  <c r="D81" i="4" s="1"/>
  <c r="J83" i="3"/>
  <c r="F83" i="3"/>
  <c r="D83" i="4" s="1"/>
  <c r="I16" i="5"/>
  <c r="B7" i="6"/>
  <c r="B6" i="6"/>
  <c r="I12" i="5"/>
  <c r="B8" i="6"/>
  <c r="I20" i="5"/>
  <c r="B11" i="6"/>
  <c r="I35" i="5"/>
  <c r="B22" i="6"/>
  <c r="B16" i="6"/>
  <c r="I67" i="5"/>
  <c r="B5" i="6"/>
  <c r="I7" i="5"/>
  <c r="I11" i="5"/>
  <c r="B9" i="6"/>
  <c r="I24" i="5"/>
  <c r="I26" i="6"/>
  <c r="I30" i="5"/>
  <c r="I38" i="5"/>
  <c r="I46" i="5"/>
  <c r="I59" i="5"/>
  <c r="I60" i="5"/>
  <c r="I75" i="5"/>
  <c r="I50" i="5"/>
  <c r="I58" i="5"/>
  <c r="I62" i="5"/>
  <c r="I66" i="5"/>
  <c r="I70" i="5"/>
  <c r="I74" i="5"/>
  <c r="I78" i="5"/>
  <c r="I82" i="5"/>
  <c r="E25" i="6"/>
  <c r="E24" i="6"/>
  <c r="E23" i="6"/>
  <c r="E26" i="6"/>
  <c r="I24" i="6"/>
  <c r="I54" i="5"/>
  <c r="I25" i="6"/>
  <c r="I22" i="6"/>
  <c r="D75" i="3" l="1"/>
  <c r="D71" i="3"/>
  <c r="C71" i="4" s="1"/>
  <c r="F71" i="4" s="1"/>
  <c r="D68" i="3"/>
  <c r="C68" i="4" s="1"/>
  <c r="F68" i="4" s="1"/>
  <c r="H68" i="4" s="1"/>
  <c r="D63" i="3"/>
  <c r="I63" i="3" s="1"/>
  <c r="D79" i="3"/>
  <c r="I79" i="3" s="1"/>
  <c r="F22" i="6"/>
  <c r="D76" i="3"/>
  <c r="C76" i="4" s="1"/>
  <c r="F76" i="4" s="1"/>
  <c r="L76" i="3" s="1"/>
  <c r="D73" i="3"/>
  <c r="I73" i="3" s="1"/>
  <c r="G81" i="5"/>
  <c r="H81" i="5" s="1"/>
  <c r="D81" i="3"/>
  <c r="I81" i="3" s="1"/>
  <c r="G67" i="5"/>
  <c r="H67" i="5" s="1"/>
  <c r="D44" i="3"/>
  <c r="I44" i="3" s="1"/>
  <c r="D67" i="3"/>
  <c r="C67" i="4" s="1"/>
  <c r="F67" i="4" s="1"/>
  <c r="J24" i="6"/>
  <c r="F25" i="6"/>
  <c r="E78" i="5"/>
  <c r="G78" i="5" s="1"/>
  <c r="H78" i="5" s="1"/>
  <c r="D78" i="3"/>
  <c r="E74" i="5"/>
  <c r="D74" i="3"/>
  <c r="F26" i="6"/>
  <c r="J23" i="6"/>
  <c r="E66" i="5"/>
  <c r="G66" i="5" s="1"/>
  <c r="H66" i="5" s="1"/>
  <c r="D66" i="3"/>
  <c r="J25" i="6"/>
  <c r="F23" i="6"/>
  <c r="E70" i="5"/>
  <c r="G70" i="5" s="1"/>
  <c r="H70" i="5" s="1"/>
  <c r="D70" i="3"/>
  <c r="C70" i="4" s="1"/>
  <c r="F70" i="4" s="1"/>
  <c r="E64" i="5"/>
  <c r="G64" i="5" s="1"/>
  <c r="H64" i="5" s="1"/>
  <c r="D64" i="3"/>
  <c r="C64" i="4" s="1"/>
  <c r="F64" i="4" s="1"/>
  <c r="E84" i="5"/>
  <c r="G84" i="5" s="1"/>
  <c r="H84" i="5" s="1"/>
  <c r="D84" i="3"/>
  <c r="C84" i="4" s="1"/>
  <c r="F84" i="4" s="1"/>
  <c r="E82" i="5"/>
  <c r="G82" i="5" s="1"/>
  <c r="H82" i="5" s="1"/>
  <c r="D82" i="3"/>
  <c r="D72" i="3"/>
  <c r="C72" i="4" s="1"/>
  <c r="F72" i="4" s="1"/>
  <c r="H72" i="4" s="1"/>
  <c r="E72" i="5"/>
  <c r="G72" i="5" s="1"/>
  <c r="H72" i="5" s="1"/>
  <c r="F24" i="6"/>
  <c r="J26" i="6"/>
  <c r="B29" i="6"/>
  <c r="D77" i="3"/>
  <c r="I77" i="3" s="1"/>
  <c r="E83" i="5"/>
  <c r="G83" i="5" s="1"/>
  <c r="H83" i="5" s="1"/>
  <c r="D83" i="3"/>
  <c r="C83" i="4" s="1"/>
  <c r="F83" i="4" s="1"/>
  <c r="E80" i="5"/>
  <c r="G80" i="5" s="1"/>
  <c r="H80" i="5" s="1"/>
  <c r="D80" i="3"/>
  <c r="C80" i="4" s="1"/>
  <c r="F80" i="4" s="1"/>
  <c r="E54" i="5"/>
  <c r="D54" i="3"/>
  <c r="E45" i="5"/>
  <c r="G45" i="5" s="1"/>
  <c r="H45" i="5" s="1"/>
  <c r="D45" i="3"/>
  <c r="E31" i="5"/>
  <c r="G31" i="5" s="1"/>
  <c r="H31" i="5" s="1"/>
  <c r="D31" i="3"/>
  <c r="E23" i="5"/>
  <c r="G23" i="5" s="1"/>
  <c r="H23" i="5" s="1"/>
  <c r="D23" i="3"/>
  <c r="E10" i="5"/>
  <c r="G10" i="5" s="1"/>
  <c r="H10" i="5" s="1"/>
  <c r="D10" i="3"/>
  <c r="E6" i="5"/>
  <c r="G6" i="5" s="1"/>
  <c r="H6" i="5" s="1"/>
  <c r="D6" i="3"/>
  <c r="C63" i="4"/>
  <c r="F63" i="4" s="1"/>
  <c r="I53" i="3"/>
  <c r="E35" i="5"/>
  <c r="D35" i="3"/>
  <c r="E15" i="5"/>
  <c r="G15" i="5" s="1"/>
  <c r="H15" i="5" s="1"/>
  <c r="D15" i="3"/>
  <c r="E57" i="5"/>
  <c r="G57" i="5" s="1"/>
  <c r="H57" i="5" s="1"/>
  <c r="D57" i="3"/>
  <c r="E48" i="5"/>
  <c r="D48" i="3"/>
  <c r="E39" i="5"/>
  <c r="G39" i="5" s="1"/>
  <c r="H39" i="5" s="1"/>
  <c r="D39" i="3"/>
  <c r="E30" i="5"/>
  <c r="G30" i="5" s="1"/>
  <c r="H30" i="5" s="1"/>
  <c r="D30" i="3"/>
  <c r="E22" i="5"/>
  <c r="G22" i="5" s="1"/>
  <c r="H22" i="5" s="1"/>
  <c r="D22" i="3"/>
  <c r="E9" i="5"/>
  <c r="G9" i="5" s="1"/>
  <c r="H9" i="5" s="1"/>
  <c r="D9" i="3"/>
  <c r="C69" i="4"/>
  <c r="F69" i="4" s="1"/>
  <c r="I69" i="3"/>
  <c r="F53" i="4"/>
  <c r="E62" i="5"/>
  <c r="G62" i="5" s="1"/>
  <c r="H62" i="5" s="1"/>
  <c r="D62" i="3"/>
  <c r="E49" i="5"/>
  <c r="G49" i="5" s="1"/>
  <c r="H49" i="5" s="1"/>
  <c r="D49" i="3"/>
  <c r="E27" i="5"/>
  <c r="G27" i="5" s="1"/>
  <c r="H27" i="5" s="1"/>
  <c r="D27" i="3"/>
  <c r="B25" i="6"/>
  <c r="B23" i="6"/>
  <c r="B15" i="8" s="1"/>
  <c r="B16" i="8" s="1"/>
  <c r="E61" i="5"/>
  <c r="G61" i="5" s="1"/>
  <c r="H61" i="5" s="1"/>
  <c r="D61" i="3"/>
  <c r="E52" i="5"/>
  <c r="G52" i="5" s="1"/>
  <c r="H52" i="5" s="1"/>
  <c r="D52" i="3"/>
  <c r="E43" i="5"/>
  <c r="G43" i="5" s="1"/>
  <c r="H43" i="5" s="1"/>
  <c r="D43" i="3"/>
  <c r="E34" i="5"/>
  <c r="G34" i="5" s="1"/>
  <c r="H34" i="5" s="1"/>
  <c r="D34" i="3"/>
  <c r="E26" i="5"/>
  <c r="G26" i="5" s="1"/>
  <c r="H26" i="5" s="1"/>
  <c r="D26" i="3"/>
  <c r="E18" i="5"/>
  <c r="G18" i="5" s="1"/>
  <c r="H18" i="5" s="1"/>
  <c r="D18" i="3"/>
  <c r="E14" i="5"/>
  <c r="G14" i="5" s="1"/>
  <c r="H14" i="5" s="1"/>
  <c r="D14" i="3"/>
  <c r="E5" i="5"/>
  <c r="G5" i="5" s="1"/>
  <c r="D5" i="3"/>
  <c r="I27" i="6"/>
  <c r="J22" i="6"/>
  <c r="E60" i="5"/>
  <c r="D60" i="3"/>
  <c r="E56" i="5"/>
  <c r="G56" i="5" s="1"/>
  <c r="H56" i="5" s="1"/>
  <c r="D56" i="3"/>
  <c r="E51" i="5"/>
  <c r="G51" i="5" s="1"/>
  <c r="H51" i="5" s="1"/>
  <c r="D51" i="3"/>
  <c r="E47" i="5"/>
  <c r="G47" i="5" s="1"/>
  <c r="H47" i="5" s="1"/>
  <c r="D47" i="3"/>
  <c r="E42" i="5"/>
  <c r="G42" i="5" s="1"/>
  <c r="H42" i="5" s="1"/>
  <c r="D42" i="3"/>
  <c r="E38" i="5"/>
  <c r="G38" i="5" s="1"/>
  <c r="H38" i="5" s="1"/>
  <c r="D38" i="3"/>
  <c r="E33" i="5"/>
  <c r="G33" i="5" s="1"/>
  <c r="H33" i="5" s="1"/>
  <c r="D33" i="3"/>
  <c r="E29" i="5"/>
  <c r="D29" i="3"/>
  <c r="E25" i="5"/>
  <c r="G25" i="5" s="1"/>
  <c r="H25" i="5" s="1"/>
  <c r="D25" i="3"/>
  <c r="E21" i="5"/>
  <c r="G21" i="5" s="1"/>
  <c r="H21" i="5" s="1"/>
  <c r="D21" i="3"/>
  <c r="E17" i="5"/>
  <c r="G17" i="5" s="1"/>
  <c r="H17" i="5" s="1"/>
  <c r="D17" i="3"/>
  <c r="E13" i="5"/>
  <c r="G13" i="5" s="1"/>
  <c r="H13" i="5" s="1"/>
  <c r="D13" i="3"/>
  <c r="E8" i="5"/>
  <c r="G8" i="5" s="1"/>
  <c r="H8" i="5" s="1"/>
  <c r="D8" i="3"/>
  <c r="I68" i="3"/>
  <c r="C75" i="4"/>
  <c r="F75" i="4" s="1"/>
  <c r="I75" i="3"/>
  <c r="C11" i="4"/>
  <c r="F11" i="4" s="1"/>
  <c r="I11" i="3"/>
  <c r="I37" i="3"/>
  <c r="E58" i="5"/>
  <c r="G58" i="5" s="1"/>
  <c r="H58" i="5" s="1"/>
  <c r="D58" i="3"/>
  <c r="E40" i="5"/>
  <c r="G40" i="5" s="1"/>
  <c r="H40" i="5" s="1"/>
  <c r="D40" i="3"/>
  <c r="E19" i="5"/>
  <c r="G19" i="5" s="1"/>
  <c r="H19" i="5" s="1"/>
  <c r="D19" i="3"/>
  <c r="E27" i="6"/>
  <c r="E59" i="5"/>
  <c r="G59" i="5" s="1"/>
  <c r="H59" i="5" s="1"/>
  <c r="D59" i="3"/>
  <c r="E55" i="5"/>
  <c r="G55" i="5" s="1"/>
  <c r="H55" i="5" s="1"/>
  <c r="D55" i="3"/>
  <c r="E50" i="5"/>
  <c r="G50" i="5" s="1"/>
  <c r="H50" i="5" s="1"/>
  <c r="D50" i="3"/>
  <c r="E46" i="5"/>
  <c r="G46" i="5" s="1"/>
  <c r="H46" i="5" s="1"/>
  <c r="D46" i="3"/>
  <c r="E41" i="5"/>
  <c r="D41" i="3"/>
  <c r="E36" i="5"/>
  <c r="G36" i="5" s="1"/>
  <c r="H36" i="5" s="1"/>
  <c r="D36" i="3"/>
  <c r="E32" i="5"/>
  <c r="G32" i="5" s="1"/>
  <c r="H32" i="5" s="1"/>
  <c r="D32" i="3"/>
  <c r="E28" i="5"/>
  <c r="G28" i="5" s="1"/>
  <c r="H28" i="5" s="1"/>
  <c r="D28" i="3"/>
  <c r="E24" i="5"/>
  <c r="D24" i="3"/>
  <c r="E20" i="5"/>
  <c r="D20" i="3"/>
  <c r="E16" i="5"/>
  <c r="D16" i="3"/>
  <c r="E12" i="5"/>
  <c r="D12" i="3"/>
  <c r="E7" i="5"/>
  <c r="D7" i="3"/>
  <c r="C73" i="4"/>
  <c r="F73" i="4" s="1"/>
  <c r="C65" i="4"/>
  <c r="F65" i="4" s="1"/>
  <c r="I65" i="3"/>
  <c r="F37" i="4"/>
  <c r="C81" i="4" l="1"/>
  <c r="F81" i="4" s="1"/>
  <c r="H81" i="4" s="1"/>
  <c r="I67" i="3"/>
  <c r="B67" i="4" s="1"/>
  <c r="I76" i="3"/>
  <c r="I71" i="3"/>
  <c r="F71" i="5" s="1"/>
  <c r="I70" i="3"/>
  <c r="B70" i="4" s="1"/>
  <c r="C79" i="4"/>
  <c r="F79" i="4" s="1"/>
  <c r="G79" i="4" s="1"/>
  <c r="I72" i="3"/>
  <c r="F72" i="5" s="1"/>
  <c r="C44" i="4"/>
  <c r="F44" i="4" s="1"/>
  <c r="G44" i="4" s="1"/>
  <c r="I84" i="3"/>
  <c r="F84" i="5" s="1"/>
  <c r="C77" i="4"/>
  <c r="F77" i="4" s="1"/>
  <c r="G77" i="4" s="1"/>
  <c r="L68" i="3"/>
  <c r="H84" i="4"/>
  <c r="G84" i="4"/>
  <c r="L84" i="3"/>
  <c r="I80" i="3"/>
  <c r="B80" i="4" s="1"/>
  <c r="G76" i="4"/>
  <c r="H76" i="4"/>
  <c r="F27" i="6"/>
  <c r="H80" i="4"/>
  <c r="G80" i="4"/>
  <c r="L80" i="3"/>
  <c r="G83" i="4"/>
  <c r="L83" i="3"/>
  <c r="H83" i="4"/>
  <c r="H70" i="4"/>
  <c r="G70" i="4"/>
  <c r="L70" i="3"/>
  <c r="C82" i="4"/>
  <c r="F82" i="4" s="1"/>
  <c r="I82" i="3"/>
  <c r="G68" i="4"/>
  <c r="L72" i="3"/>
  <c r="C78" i="4"/>
  <c r="F78" i="4" s="1"/>
  <c r="I78" i="3"/>
  <c r="J27" i="6"/>
  <c r="I64" i="3"/>
  <c r="B64" i="4" s="1"/>
  <c r="G72" i="4"/>
  <c r="C66" i="4"/>
  <c r="F66" i="4" s="1"/>
  <c r="I66" i="3"/>
  <c r="D17" i="6"/>
  <c r="G74" i="5"/>
  <c r="H74" i="5" s="1"/>
  <c r="I83" i="3"/>
  <c r="F83" i="5" s="1"/>
  <c r="C74" i="4"/>
  <c r="F74" i="4" s="1"/>
  <c r="I74" i="3"/>
  <c r="F65" i="5"/>
  <c r="B65" i="4"/>
  <c r="H65" i="4"/>
  <c r="G65" i="4"/>
  <c r="L65" i="3"/>
  <c r="D6" i="6"/>
  <c r="G12" i="5"/>
  <c r="H12" i="5" s="1"/>
  <c r="C40" i="4"/>
  <c r="F40" i="4" s="1"/>
  <c r="I40" i="3"/>
  <c r="F37" i="5"/>
  <c r="B37" i="4"/>
  <c r="F67" i="5"/>
  <c r="F68" i="5"/>
  <c r="B68" i="4"/>
  <c r="C8" i="4"/>
  <c r="F8" i="4" s="1"/>
  <c r="I8" i="3"/>
  <c r="C17" i="4"/>
  <c r="F17" i="4" s="1"/>
  <c r="I17" i="3"/>
  <c r="C25" i="4"/>
  <c r="F25" i="4" s="1"/>
  <c r="I25" i="3"/>
  <c r="C33" i="4"/>
  <c r="F33" i="4" s="1"/>
  <c r="I33" i="3"/>
  <c r="C42" i="4"/>
  <c r="F42" i="4" s="1"/>
  <c r="I42" i="3"/>
  <c r="C51" i="4"/>
  <c r="F51" i="4" s="1"/>
  <c r="I51" i="3"/>
  <c r="C60" i="4"/>
  <c r="F60" i="4" s="1"/>
  <c r="I60" i="3"/>
  <c r="C27" i="4"/>
  <c r="F27" i="4" s="1"/>
  <c r="I27" i="3"/>
  <c r="C62" i="4"/>
  <c r="F62" i="4" s="1"/>
  <c r="I62" i="3"/>
  <c r="F69" i="5"/>
  <c r="B69" i="4"/>
  <c r="D13" i="6"/>
  <c r="G48" i="5"/>
  <c r="H48" i="5" s="1"/>
  <c r="C35" i="4"/>
  <c r="F35" i="4" s="1"/>
  <c r="I35" i="3"/>
  <c r="H63" i="4"/>
  <c r="G63" i="4"/>
  <c r="L63" i="3"/>
  <c r="G54" i="5"/>
  <c r="H54" i="5" s="1"/>
  <c r="D14" i="6"/>
  <c r="F81" i="5"/>
  <c r="B81" i="4"/>
  <c r="H37" i="4"/>
  <c r="G37" i="4"/>
  <c r="L37" i="3"/>
  <c r="G81" i="4"/>
  <c r="D8" i="6"/>
  <c r="G20" i="5"/>
  <c r="H20" i="5" s="1"/>
  <c r="F44" i="5"/>
  <c r="B44" i="4"/>
  <c r="F73" i="5"/>
  <c r="B73" i="4"/>
  <c r="C7" i="4"/>
  <c r="F7" i="4" s="1"/>
  <c r="I7" i="3"/>
  <c r="C16" i="4"/>
  <c r="F16" i="4" s="1"/>
  <c r="I16" i="3"/>
  <c r="C24" i="4"/>
  <c r="F24" i="4" s="1"/>
  <c r="I24" i="3"/>
  <c r="I32" i="3"/>
  <c r="C32" i="4"/>
  <c r="F32" i="4" s="1"/>
  <c r="C41" i="4"/>
  <c r="F41" i="4" s="1"/>
  <c r="I41" i="3"/>
  <c r="C50" i="4"/>
  <c r="F50" i="4" s="1"/>
  <c r="I50" i="3"/>
  <c r="C59" i="4"/>
  <c r="F59" i="4" s="1"/>
  <c r="I59" i="3"/>
  <c r="F11" i="5"/>
  <c r="B11" i="4"/>
  <c r="H67" i="4"/>
  <c r="G67" i="4"/>
  <c r="L67" i="3"/>
  <c r="D15" i="6"/>
  <c r="G60" i="5"/>
  <c r="H60" i="5" s="1"/>
  <c r="C5" i="4"/>
  <c r="F5" i="4" s="1"/>
  <c r="I5" i="3"/>
  <c r="C18" i="4"/>
  <c r="F18" i="4" s="1"/>
  <c r="I18" i="3"/>
  <c r="I34" i="3"/>
  <c r="C34" i="4"/>
  <c r="F34" i="4" s="1"/>
  <c r="C52" i="4"/>
  <c r="F52" i="4" s="1"/>
  <c r="I52" i="3"/>
  <c r="H69" i="4"/>
  <c r="G69" i="4"/>
  <c r="L69" i="3"/>
  <c r="C22" i="4"/>
  <c r="F22" i="4" s="1"/>
  <c r="I22" i="3"/>
  <c r="C39" i="4"/>
  <c r="F39" i="4" s="1"/>
  <c r="I39" i="3"/>
  <c r="C57" i="4"/>
  <c r="F57" i="4" s="1"/>
  <c r="I57" i="3"/>
  <c r="D11" i="6"/>
  <c r="G35" i="5"/>
  <c r="H35" i="5" s="1"/>
  <c r="B71" i="4"/>
  <c r="C6" i="4"/>
  <c r="F6" i="4" s="1"/>
  <c r="I6" i="3"/>
  <c r="C23" i="4"/>
  <c r="F23" i="4" s="1"/>
  <c r="I23" i="3"/>
  <c r="C45" i="4"/>
  <c r="F45" i="4" s="1"/>
  <c r="I45" i="3"/>
  <c r="H73" i="4"/>
  <c r="G73" i="4"/>
  <c r="L73" i="3"/>
  <c r="D5" i="6"/>
  <c r="G7" i="5"/>
  <c r="H7" i="5" s="1"/>
  <c r="D7" i="6"/>
  <c r="G16" i="5"/>
  <c r="H16" i="5" s="1"/>
  <c r="D9" i="6"/>
  <c r="G24" i="5"/>
  <c r="H24" i="5" s="1"/>
  <c r="D12" i="6"/>
  <c r="G41" i="5"/>
  <c r="H41" i="5" s="1"/>
  <c r="C19" i="4"/>
  <c r="F19" i="4" s="1"/>
  <c r="I19" i="3"/>
  <c r="C58" i="4"/>
  <c r="F58" i="4" s="1"/>
  <c r="I58" i="3"/>
  <c r="G11" i="4"/>
  <c r="H11" i="4"/>
  <c r="L11" i="3"/>
  <c r="F75" i="5"/>
  <c r="B75" i="4"/>
  <c r="F76" i="5"/>
  <c r="B76" i="4"/>
  <c r="C13" i="4"/>
  <c r="F13" i="4" s="1"/>
  <c r="I13" i="3"/>
  <c r="C21" i="4"/>
  <c r="F21" i="4" s="1"/>
  <c r="I21" i="3"/>
  <c r="C29" i="4"/>
  <c r="F29" i="4" s="1"/>
  <c r="I29" i="3"/>
  <c r="C38" i="4"/>
  <c r="F38" i="4" s="1"/>
  <c r="I38" i="3"/>
  <c r="C47" i="4"/>
  <c r="F47" i="4" s="1"/>
  <c r="I47" i="3"/>
  <c r="C56" i="4"/>
  <c r="F56" i="4" s="1"/>
  <c r="I56" i="3"/>
  <c r="H5" i="5"/>
  <c r="C49" i="4"/>
  <c r="F49" i="4" s="1"/>
  <c r="I49" i="3"/>
  <c r="H53" i="4"/>
  <c r="G53" i="4"/>
  <c r="L53" i="3"/>
  <c r="F77" i="5"/>
  <c r="B77" i="4"/>
  <c r="C15" i="4"/>
  <c r="F15" i="4" s="1"/>
  <c r="I15" i="3"/>
  <c r="F53" i="5"/>
  <c r="B53" i="4"/>
  <c r="H71" i="4"/>
  <c r="G71" i="4"/>
  <c r="L71" i="3"/>
  <c r="C12" i="4"/>
  <c r="F12" i="4" s="1"/>
  <c r="I12" i="3"/>
  <c r="C20" i="4"/>
  <c r="F20" i="4" s="1"/>
  <c r="I20" i="3"/>
  <c r="C28" i="4"/>
  <c r="F28" i="4" s="1"/>
  <c r="I28" i="3"/>
  <c r="C36" i="4"/>
  <c r="F36" i="4" s="1"/>
  <c r="I36" i="3"/>
  <c r="C46" i="4"/>
  <c r="F46" i="4" s="1"/>
  <c r="I46" i="3"/>
  <c r="C55" i="4"/>
  <c r="F55" i="4" s="1"/>
  <c r="I55" i="3"/>
  <c r="H64" i="4"/>
  <c r="G64" i="4"/>
  <c r="L64" i="3"/>
  <c r="H75" i="4"/>
  <c r="G75" i="4"/>
  <c r="L75" i="3"/>
  <c r="G29" i="5"/>
  <c r="H29" i="5" s="1"/>
  <c r="D10" i="6"/>
  <c r="C14" i="4"/>
  <c r="F14" i="4" s="1"/>
  <c r="I14" i="3"/>
  <c r="C26" i="4"/>
  <c r="F26" i="4" s="1"/>
  <c r="I26" i="3"/>
  <c r="C43" i="4"/>
  <c r="F43" i="4" s="1"/>
  <c r="I43" i="3"/>
  <c r="C61" i="4"/>
  <c r="F61" i="4" s="1"/>
  <c r="I61" i="3"/>
  <c r="H77" i="4"/>
  <c r="C9" i="4"/>
  <c r="F9" i="4" s="1"/>
  <c r="I9" i="3"/>
  <c r="C30" i="4"/>
  <c r="F30" i="4" s="1"/>
  <c r="I30" i="3"/>
  <c r="C48" i="4"/>
  <c r="F48" i="4" s="1"/>
  <c r="I48" i="3"/>
  <c r="F63" i="5"/>
  <c r="B63" i="4"/>
  <c r="F79" i="5"/>
  <c r="B79" i="4"/>
  <c r="C10" i="4"/>
  <c r="F10" i="4" s="1"/>
  <c r="I10" i="3"/>
  <c r="C31" i="4"/>
  <c r="F31" i="4" s="1"/>
  <c r="I31" i="3"/>
  <c r="C54" i="4"/>
  <c r="F54" i="4" s="1"/>
  <c r="I54" i="3"/>
  <c r="H44" i="4" l="1"/>
  <c r="H79" i="4"/>
  <c r="L81" i="3"/>
  <c r="F70" i="5"/>
  <c r="F80" i="5"/>
  <c r="B72" i="4"/>
  <c r="L44" i="3"/>
  <c r="B84" i="4"/>
  <c r="L77" i="3"/>
  <c r="L79" i="3"/>
  <c r="F64" i="5"/>
  <c r="L74" i="3"/>
  <c r="G74" i="4"/>
  <c r="H74" i="4"/>
  <c r="L66" i="3"/>
  <c r="H66" i="4"/>
  <c r="G66" i="4"/>
  <c r="B78" i="4"/>
  <c r="F78" i="5"/>
  <c r="B82" i="4"/>
  <c r="F82" i="5"/>
  <c r="B83" i="4"/>
  <c r="L78" i="3"/>
  <c r="G78" i="4"/>
  <c r="H78" i="4"/>
  <c r="L82" i="3"/>
  <c r="H82" i="4"/>
  <c r="G82" i="4"/>
  <c r="B66" i="4"/>
  <c r="F66" i="5"/>
  <c r="B74" i="4"/>
  <c r="F74" i="5"/>
  <c r="F31" i="5"/>
  <c r="B31" i="4"/>
  <c r="F30" i="5"/>
  <c r="B30" i="4"/>
  <c r="H43" i="4"/>
  <c r="G43" i="4"/>
  <c r="L43" i="3"/>
  <c r="H36" i="4"/>
  <c r="G36" i="4"/>
  <c r="L36" i="3"/>
  <c r="H49" i="4"/>
  <c r="G49" i="4"/>
  <c r="L49" i="3"/>
  <c r="G21" i="4"/>
  <c r="H21" i="4"/>
  <c r="L21" i="3"/>
  <c r="F45" i="5"/>
  <c r="B45" i="4"/>
  <c r="F6" i="5"/>
  <c r="B6" i="4"/>
  <c r="B39" i="4"/>
  <c r="F39" i="5"/>
  <c r="B34" i="4"/>
  <c r="F34" i="5"/>
  <c r="H54" i="4"/>
  <c r="G54" i="4"/>
  <c r="L54" i="3"/>
  <c r="G10" i="4"/>
  <c r="H10" i="4"/>
  <c r="L10" i="3"/>
  <c r="H48" i="4"/>
  <c r="G48" i="4"/>
  <c r="L48" i="3"/>
  <c r="G9" i="4"/>
  <c r="H9" i="4"/>
  <c r="L9" i="3"/>
  <c r="F43" i="5"/>
  <c r="B43" i="4"/>
  <c r="F14" i="5"/>
  <c r="B14" i="4"/>
  <c r="F55" i="5"/>
  <c r="B55" i="4"/>
  <c r="F36" i="5"/>
  <c r="B36" i="4"/>
  <c r="F20" i="5"/>
  <c r="B20" i="4"/>
  <c r="F49" i="5"/>
  <c r="B49" i="4"/>
  <c r="F56" i="5"/>
  <c r="B56" i="4"/>
  <c r="F38" i="5"/>
  <c r="B38" i="4"/>
  <c r="B21" i="4"/>
  <c r="F21" i="5"/>
  <c r="H58" i="4"/>
  <c r="G58" i="4"/>
  <c r="L58" i="3"/>
  <c r="G23" i="4"/>
  <c r="H23" i="4"/>
  <c r="L23" i="3"/>
  <c r="H57" i="4"/>
  <c r="G57" i="4"/>
  <c r="L57" i="3"/>
  <c r="G22" i="4"/>
  <c r="H22" i="4"/>
  <c r="L22" i="3"/>
  <c r="H34" i="4"/>
  <c r="G34" i="4"/>
  <c r="L34" i="3"/>
  <c r="F5" i="5"/>
  <c r="B5" i="4"/>
  <c r="H59" i="4"/>
  <c r="G59" i="4"/>
  <c r="L59" i="3"/>
  <c r="H41" i="4"/>
  <c r="G41" i="4"/>
  <c r="L41" i="3"/>
  <c r="H24" i="4"/>
  <c r="G24" i="4"/>
  <c r="L24" i="3"/>
  <c r="G7" i="4"/>
  <c r="H7" i="4"/>
  <c r="L7" i="3"/>
  <c r="H35" i="4"/>
  <c r="G35" i="4"/>
  <c r="L35" i="3"/>
  <c r="H62" i="4"/>
  <c r="G62" i="4"/>
  <c r="L62" i="3"/>
  <c r="H60" i="4"/>
  <c r="G60" i="4"/>
  <c r="L60" i="3"/>
  <c r="H42" i="4"/>
  <c r="G42" i="4"/>
  <c r="L42" i="3"/>
  <c r="H25" i="4"/>
  <c r="G25" i="4"/>
  <c r="L25" i="3"/>
  <c r="G8" i="4"/>
  <c r="H8" i="4"/>
  <c r="L8" i="3"/>
  <c r="H40" i="4"/>
  <c r="G40" i="4"/>
  <c r="L40" i="3"/>
  <c r="G20" i="4"/>
  <c r="H20" i="4"/>
  <c r="L20" i="3"/>
  <c r="H56" i="4"/>
  <c r="G56" i="4"/>
  <c r="L56" i="3"/>
  <c r="B89" i="5"/>
  <c r="B91" i="4"/>
  <c r="C91" i="4" s="1"/>
  <c r="B89" i="4"/>
  <c r="C89" i="4" s="1"/>
  <c r="G5" i="4"/>
  <c r="B90" i="4"/>
  <c r="C90" i="4" s="1"/>
  <c r="H5" i="4"/>
  <c r="B88" i="4"/>
  <c r="B92" i="4"/>
  <c r="C92" i="4" s="1"/>
  <c r="L5" i="3"/>
  <c r="F50" i="5"/>
  <c r="B50" i="4"/>
  <c r="F16" i="5"/>
  <c r="B16" i="4"/>
  <c r="F27" i="5"/>
  <c r="B27" i="4"/>
  <c r="F51" i="5"/>
  <c r="B51" i="4"/>
  <c r="F33" i="5"/>
  <c r="B33" i="4"/>
  <c r="F17" i="5"/>
  <c r="B17" i="4"/>
  <c r="F26" i="5"/>
  <c r="B26" i="4"/>
  <c r="F12" i="5"/>
  <c r="B12" i="4"/>
  <c r="G15" i="4"/>
  <c r="H15" i="4"/>
  <c r="L15" i="3"/>
  <c r="F47" i="5"/>
  <c r="B47" i="4"/>
  <c r="F29" i="5"/>
  <c r="B29" i="4"/>
  <c r="B13" i="4"/>
  <c r="F13" i="5"/>
  <c r="G19" i="4"/>
  <c r="H19" i="4"/>
  <c r="L19" i="3"/>
  <c r="B26" i="6"/>
  <c r="H45" i="4"/>
  <c r="G45" i="4"/>
  <c r="L45" i="3"/>
  <c r="G6" i="4"/>
  <c r="H6" i="4"/>
  <c r="L6" i="3"/>
  <c r="H39" i="4"/>
  <c r="G39" i="4"/>
  <c r="L39" i="3"/>
  <c r="F52" i="5"/>
  <c r="B52" i="4"/>
  <c r="F18" i="5"/>
  <c r="B18" i="4"/>
  <c r="H50" i="4"/>
  <c r="G50" i="4"/>
  <c r="L50" i="3"/>
  <c r="F32" i="5"/>
  <c r="B32" i="4"/>
  <c r="G16" i="4"/>
  <c r="H16" i="4"/>
  <c r="L16" i="3"/>
  <c r="H27" i="4"/>
  <c r="G27" i="4"/>
  <c r="L27" i="3"/>
  <c r="H51" i="4"/>
  <c r="G51" i="4"/>
  <c r="L51" i="3"/>
  <c r="H33" i="4"/>
  <c r="G33" i="4"/>
  <c r="L33" i="3"/>
  <c r="G17" i="4"/>
  <c r="H17" i="4"/>
  <c r="L17" i="3"/>
  <c r="G14" i="4"/>
  <c r="H14" i="4"/>
  <c r="L14" i="3"/>
  <c r="H55" i="4"/>
  <c r="G55" i="4"/>
  <c r="L55" i="3"/>
  <c r="F15" i="5"/>
  <c r="B15" i="4"/>
  <c r="H38" i="4"/>
  <c r="G38" i="4"/>
  <c r="L38" i="3"/>
  <c r="F19" i="5"/>
  <c r="B19" i="4"/>
  <c r="H32" i="4"/>
  <c r="G32" i="4"/>
  <c r="L32" i="3"/>
  <c r="H31" i="4"/>
  <c r="G31" i="4"/>
  <c r="L31" i="3"/>
  <c r="H30" i="4"/>
  <c r="G30" i="4"/>
  <c r="L30" i="3"/>
  <c r="F61" i="5"/>
  <c r="B61" i="4"/>
  <c r="F46" i="5"/>
  <c r="B46" i="4"/>
  <c r="F28" i="5"/>
  <c r="B28" i="4"/>
  <c r="F54" i="5"/>
  <c r="B54" i="4"/>
  <c r="F10" i="5"/>
  <c r="B10" i="4"/>
  <c r="F48" i="5"/>
  <c r="B48" i="4"/>
  <c r="F9" i="5"/>
  <c r="B9" i="4"/>
  <c r="H61" i="4"/>
  <c r="G61" i="4"/>
  <c r="L61" i="3"/>
  <c r="H26" i="4"/>
  <c r="G26" i="4"/>
  <c r="L26" i="3"/>
  <c r="H46" i="4"/>
  <c r="G46" i="4"/>
  <c r="L46" i="3"/>
  <c r="H28" i="4"/>
  <c r="G28" i="4"/>
  <c r="L28" i="3"/>
  <c r="G12" i="4"/>
  <c r="H12" i="4"/>
  <c r="L12" i="3"/>
  <c r="B87" i="5"/>
  <c r="H47" i="4"/>
  <c r="G47" i="4"/>
  <c r="L47" i="3"/>
  <c r="H29" i="4"/>
  <c r="G29" i="4"/>
  <c r="L29" i="3"/>
  <c r="G13" i="4"/>
  <c r="H13" i="4"/>
  <c r="L13" i="3"/>
  <c r="F58" i="5"/>
  <c r="B58" i="4"/>
  <c r="F23" i="5"/>
  <c r="B23" i="4"/>
  <c r="F57" i="5"/>
  <c r="B57" i="4"/>
  <c r="F22" i="5"/>
  <c r="B22" i="4"/>
  <c r="H52" i="4"/>
  <c r="G52" i="4"/>
  <c r="L52" i="3"/>
  <c r="G18" i="4"/>
  <c r="H18" i="4"/>
  <c r="L18" i="3"/>
  <c r="F59" i="5"/>
  <c r="B59" i="4"/>
  <c r="F41" i="5"/>
  <c r="B41" i="4"/>
  <c r="F24" i="5"/>
  <c r="B24" i="4"/>
  <c r="F7" i="5"/>
  <c r="B7" i="4"/>
  <c r="F35" i="5"/>
  <c r="B35" i="4"/>
  <c r="F62" i="5"/>
  <c r="B62" i="4"/>
  <c r="F60" i="5"/>
  <c r="B60" i="4"/>
  <c r="F42" i="5"/>
  <c r="B42" i="4"/>
  <c r="F25" i="5"/>
  <c r="B25" i="4"/>
  <c r="F8" i="5"/>
  <c r="B8" i="4"/>
  <c r="F40" i="5"/>
  <c r="B40" i="4"/>
  <c r="B88" i="5" l="1"/>
  <c r="B11" i="8"/>
  <c r="B13" i="8" s="1"/>
  <c r="B18" i="8" s="1"/>
  <c r="B19" i="8" s="1"/>
  <c r="B93" i="4"/>
  <c r="C88" i="4"/>
  <c r="C93" i="4" s="1"/>
</calcChain>
</file>

<file path=xl/sharedStrings.xml><?xml version="1.0" encoding="utf-8"?>
<sst xmlns="http://schemas.openxmlformats.org/spreadsheetml/2006/main" count="892" uniqueCount="375">
  <si>
    <t>CRM GROUP ASSIGNMENT | MOMO HUT CUSTOMER RETENTION ANALYSIS</t>
  </si>
  <si>
    <t>Learning Team</t>
  </si>
  <si>
    <t>1</t>
  </si>
  <si>
    <t>Business</t>
  </si>
  <si>
    <t>Momo Hut</t>
  </si>
  <si>
    <t>Location</t>
  </si>
  <si>
    <t>Basant Gaon, New Delhi</t>
  </si>
  <si>
    <t>Business Type</t>
  </si>
  <si>
    <t>Quick-service Chinese restaurant / momo outlet</t>
  </si>
  <si>
    <t>Data Status</t>
  </si>
  <si>
    <t>Academic simulation — hypothetical field data</t>
  </si>
  <si>
    <t>Analysis Date</t>
  </si>
  <si>
    <t>How to use this workbook</t>
  </si>
  <si>
    <t>1. Customer Response Tracker: 80 anonymized simulated customer records.</t>
  </si>
  <si>
    <t>2. RFM Analysis: Recency, Frequency and Monetary calculations are formula-driven.</t>
  </si>
  <si>
    <t>3. Customer Segmentation: mutually exclusive RFM segments.</t>
  </si>
  <si>
    <t>4. At-Risk Analysis: strict three-condition behavioural rule.</t>
  </si>
  <si>
    <t>5. At-Risk Insights: reason, satisfaction and preferred-offer analysis.</t>
  </si>
  <si>
    <t>6. Retention Playbook: 3 proposed measures tied to findings.</t>
  </si>
  <si>
    <t>7. Implementation &amp; Impact: timeline, KPIs, assumptions and projected impact.</t>
  </si>
  <si>
    <t>8. Field Visit Log: two simulated visit records and staff/customer observation notes.</t>
  </si>
  <si>
    <t>Tap any calculated cell in Excel to view the formula in the formula bar.</t>
  </si>
  <si>
    <t>Momo Hut — Customer Response Tracker (80 simulated responses)</t>
  </si>
  <si>
    <t>Customer ID</t>
  </si>
  <si>
    <t>Interview Date</t>
  </si>
  <si>
    <t>Time Visiting Outlet</t>
  </si>
  <si>
    <t>Current Visits/Month</t>
  </si>
  <si>
    <t>Earlier Visits/Month</t>
  </si>
  <si>
    <t>Most Recent Visit</t>
  </si>
  <si>
    <t>Usual Product</t>
  </si>
  <si>
    <t>Average Spend (INR)</t>
  </si>
  <si>
    <t>Satisfaction (1-5)</t>
  </si>
  <si>
    <t>Visiting Less Frequently?</t>
  </si>
  <si>
    <t>Reason for Reduced Visits</t>
  </si>
  <si>
    <t>Loyalty Interest</t>
  </si>
  <si>
    <t>Preferred Offer</t>
  </si>
  <si>
    <t>Additional Feedback</t>
  </si>
  <si>
    <t>M001</t>
  </si>
  <si>
    <t>3 years</t>
  </si>
  <si>
    <t>Spring Rolls</t>
  </si>
  <si>
    <t>Yes</t>
  </si>
  <si>
    <t>Not interested in promotions</t>
  </si>
  <si>
    <t>10% weekday discount</t>
  </si>
  <si>
    <t>Would like faster service during rush hours.</t>
  </si>
  <si>
    <t>M002</t>
  </si>
  <si>
    <t>6 months</t>
  </si>
  <si>
    <t>Manchurian</t>
  </si>
  <si>
    <t>Another food outlet opened closer</t>
  </si>
  <si>
    <t>No</t>
  </si>
  <si>
    <t>Loyalty stamp card</t>
  </si>
  <si>
    <t>Online ordering could be easier.</t>
  </si>
  <si>
    <t>M003</t>
  </si>
  <si>
    <t>1 year</t>
  </si>
  <si>
    <t>Kurkure Momos</t>
  </si>
  <si>
    <t>Food taste has become inconsistent on recent visits</t>
  </si>
  <si>
    <t>Maybe</t>
  </si>
  <si>
    <t>Combo meal deal</t>
  </si>
  <si>
    <t>Packaging for takeaway could improve.</t>
  </si>
  <si>
    <t>M004</t>
  </si>
  <si>
    <t>2 months</t>
  </si>
  <si>
    <t>Good value for money.</t>
  </si>
  <si>
    <t>M005</t>
  </si>
  <si>
    <t>4 years</t>
  </si>
  <si>
    <t>Fried Momos</t>
  </si>
  <si>
    <t>Busy schedule has reduced my visits</t>
  </si>
  <si>
    <t>M006</t>
  </si>
  <si>
    <t>2 years</t>
  </si>
  <si>
    <t>Fried Rice</t>
  </si>
  <si>
    <t>Not interested</t>
  </si>
  <si>
    <t>M007</t>
  </si>
  <si>
    <t>Would like more variety in sauces and dips.</t>
  </si>
  <si>
    <t>M008</t>
  </si>
  <si>
    <t>Hakka Noodles</t>
  </si>
  <si>
    <t>Service is slow during the evening rush</t>
  </si>
  <si>
    <t>M009</t>
  </si>
  <si>
    <t>Referral reward</t>
  </si>
  <si>
    <t>M010</t>
  </si>
  <si>
    <t>Birthday offer</t>
  </si>
  <si>
    <t>M011</t>
  </si>
  <si>
    <t>Work schedule has changed</t>
  </si>
  <si>
    <t>M012</t>
  </si>
  <si>
    <t>Portion size feels smaller than before</t>
  </si>
  <si>
    <t>Free beverage add-on</t>
  </si>
  <si>
    <t>M013</t>
  </si>
  <si>
    <t>M014</t>
  </si>
  <si>
    <t>Hot &amp; Sour Soup</t>
  </si>
  <si>
    <t>M015</t>
  </si>
  <si>
    <t>Steamed Momos</t>
  </si>
  <si>
    <t>Need more vegetarian choices</t>
  </si>
  <si>
    <t>Taste is consistent and portions are good.</t>
  </si>
  <si>
    <t>M016</t>
  </si>
  <si>
    <t>Started working from home, so the outlet is less convenient</t>
  </si>
  <si>
    <t>M017</t>
  </si>
  <si>
    <t>Combo Meal</t>
  </si>
  <si>
    <t>More seating would be useful.</t>
  </si>
  <si>
    <t>M018</t>
  </si>
  <si>
    <t>Chilli Paneer</t>
  </si>
  <si>
    <t>M019</t>
  </si>
  <si>
    <t>M020</t>
  </si>
  <si>
    <t>Too much waiting time for takeaway orders</t>
  </si>
  <si>
    <t>M021</t>
  </si>
  <si>
    <t>Would like more meal combos.</t>
  </si>
  <si>
    <t>M022</t>
  </si>
  <si>
    <t>M023</t>
  </si>
  <si>
    <t>M024</t>
  </si>
  <si>
    <t>M025</t>
  </si>
  <si>
    <t>Would like more affordable combo options</t>
  </si>
  <si>
    <t>M026</t>
  </si>
  <si>
    <t>M027</t>
  </si>
  <si>
    <t>M028</t>
  </si>
  <si>
    <t>M029</t>
  </si>
  <si>
    <t>M030</t>
  </si>
  <si>
    <t>M031</t>
  </si>
  <si>
    <t>Dining area feels crowded at peak hours</t>
  </si>
  <si>
    <t>M032</t>
  </si>
  <si>
    <t>M033</t>
  </si>
  <si>
    <t>M034</t>
  </si>
  <si>
    <t>Waiting time is higher on weekends</t>
  </si>
  <si>
    <t>M035</t>
  </si>
  <si>
    <t>M036</t>
  </si>
  <si>
    <t>M037</t>
  </si>
  <si>
    <t>Menu has not changed much in recent months</t>
  </si>
  <si>
    <t>M038</t>
  </si>
  <si>
    <t>M039</t>
  </si>
  <si>
    <t>M040</t>
  </si>
  <si>
    <t>M041</t>
  </si>
  <si>
    <t>M042</t>
  </si>
  <si>
    <t>M043</t>
  </si>
  <si>
    <t>M044</t>
  </si>
  <si>
    <t>More seating would make visits easier</t>
  </si>
  <si>
    <t>M045</t>
  </si>
  <si>
    <t>M046</t>
  </si>
  <si>
    <t>M047</t>
  </si>
  <si>
    <t>M048</t>
  </si>
  <si>
    <t>M049</t>
  </si>
  <si>
    <t>M050</t>
  </si>
  <si>
    <t>Sometimes the momos are not served hot enough</t>
  </si>
  <si>
    <t>M051</t>
  </si>
  <si>
    <t>M052</t>
  </si>
  <si>
    <t>M053</t>
  </si>
  <si>
    <t>M054</t>
  </si>
  <si>
    <t>M055</t>
  </si>
  <si>
    <t>Prices feel slightly high for a student budget</t>
  </si>
  <si>
    <t>M056</t>
  </si>
  <si>
    <t>Busy college schedule leaves less time to visit</t>
  </si>
  <si>
    <t>M057</t>
  </si>
  <si>
    <t>M058</t>
  </si>
  <si>
    <t>M059</t>
  </si>
  <si>
    <t>M060</t>
  </si>
  <si>
    <t>M061</t>
  </si>
  <si>
    <t>M062</t>
  </si>
  <si>
    <t>M063</t>
  </si>
  <si>
    <t>Packaging leaks during takeaway</t>
  </si>
  <si>
    <t>M064</t>
  </si>
  <si>
    <t>M065</t>
  </si>
  <si>
    <t>M066</t>
  </si>
  <si>
    <t>M067</t>
  </si>
  <si>
    <t>M068</t>
  </si>
  <si>
    <t>M069</t>
  </si>
  <si>
    <t>M070</t>
  </si>
  <si>
    <t>Would prefer more variety in Chinese starters</t>
  </si>
  <si>
    <t>M071</t>
  </si>
  <si>
    <t>M072</t>
  </si>
  <si>
    <t>M073</t>
  </si>
  <si>
    <t>M074</t>
  </si>
  <si>
    <t>M075</t>
  </si>
  <si>
    <t>M076</t>
  </si>
  <si>
    <t>M077</t>
  </si>
  <si>
    <t>Outlet is farther from my current commute</t>
  </si>
  <si>
    <t>M078</t>
  </si>
  <si>
    <t>M079</t>
  </si>
  <si>
    <t>M080</t>
  </si>
  <si>
    <t>Momo Hut — RFM Analysis</t>
  </si>
  <si>
    <t>Fixed analysis date</t>
  </si>
  <si>
    <t>RFM Score = R + F + M</t>
  </si>
  <si>
    <t>Recency Days</t>
  </si>
  <si>
    <t>R Score</t>
  </si>
  <si>
    <t>F Score</t>
  </si>
  <si>
    <t>Average Spend/Visit</t>
  </si>
  <si>
    <t>M Score</t>
  </si>
  <si>
    <t>RFM Score</t>
  </si>
  <si>
    <t>F Rank</t>
  </si>
  <si>
    <t>M Rank</t>
  </si>
  <si>
    <t>Segment Link</t>
  </si>
  <si>
    <t>RFM scoring rules</t>
  </si>
  <si>
    <t>R: 0–7 days=5; 8–15=4; 16–30=3; 31–45=2; &gt;45=1</t>
  </si>
  <si>
    <t>F &amp; M: rank customers high-to-low and assign quintile scores 5 to 1 using 16-customer blocks.</t>
  </si>
  <si>
    <t>Lower Recency Days = better; higher Frequency and Monetary = better.</t>
  </si>
  <si>
    <t>Momo Hut — Customer Segmentation</t>
  </si>
  <si>
    <t>Segments are mutually exclusive and assigned in priority order.</t>
  </si>
  <si>
    <t>Segment</t>
  </si>
  <si>
    <t>Segment Logic</t>
  </si>
  <si>
    <t>Recommended CRM Focus</t>
  </si>
  <si>
    <t>Customers</t>
  </si>
  <si>
    <t>Percentage</t>
  </si>
  <si>
    <t>Champions / Highly Loyal</t>
  </si>
  <si>
    <t>Loyal Customers</t>
  </si>
  <si>
    <t>Potential Loyalists</t>
  </si>
  <si>
    <t>At-Risk Customers</t>
  </si>
  <si>
    <t>Inactive / Low Engagement</t>
  </si>
  <si>
    <t>Total</t>
  </si>
  <si>
    <t>Momo Hut — Strict Behavioural At-Risk Analysis</t>
  </si>
  <si>
    <t>At-Risk = YES only when ALL three conditions hold: Recency Days &gt; 30, Earlier Visits/Month ≥ 4, Current Visits/Month &lt; Earlier Visits/Month.</t>
  </si>
  <si>
    <t>At-Risk Status</t>
  </si>
  <si>
    <t>At-Risk Reason</t>
  </si>
  <si>
    <t>Visit Drop</t>
  </si>
  <si>
    <t>Strict At-Risk Customers</t>
  </si>
  <si>
    <t>Strict At-Risk Rate</t>
  </si>
  <si>
    <t>RFM-based At-Risk Customers</t>
  </si>
  <si>
    <t>Important</t>
  </si>
  <si>
    <t>RFM-based At-Risk and strict behavioural At-Risk are different lenses and must not be merged.</t>
  </si>
  <si>
    <t>Momo Hut — At-Risk Insights (Reasons, Satisfaction &amp; Offers)</t>
  </si>
  <si>
    <t>Scope: only customers flagged Yes by the strict behavioural At-Risk rule.</t>
  </si>
  <si>
    <t>Earlier Visits</t>
  </si>
  <si>
    <t>Current Visits</t>
  </si>
  <si>
    <t>Satisfaction</t>
  </si>
  <si>
    <t>Reason Category</t>
  </si>
  <si>
    <t>Average Spend</t>
  </si>
  <si>
    <t>1. Key Metrics</t>
  </si>
  <si>
    <t>2. Reasons for Reduced Visits</t>
  </si>
  <si>
    <t>3. Preferred Offers</t>
  </si>
  <si>
    <t>Strict At-Risk customers</t>
  </si>
  <si>
    <t>Product / Quality</t>
  </si>
  <si>
    <t>Average earlier visits/month</t>
  </si>
  <si>
    <t>Service / Experience</t>
  </si>
  <si>
    <t>Average current visits/month</t>
  </si>
  <si>
    <t>Convenience / Location</t>
  </si>
  <si>
    <t>Average visit-frequency drop</t>
  </si>
  <si>
    <t>Price / Affordability</t>
  </si>
  <si>
    <t>Average recency days</t>
  </si>
  <si>
    <t>Time / Schedule</t>
  </si>
  <si>
    <t>Average satisfaction</t>
  </si>
  <si>
    <t>Customers with satisfaction 1–2</t>
  </si>
  <si>
    <t>Share with satisfaction 1–2</t>
  </si>
  <si>
    <t>Average spend/visit</t>
  </si>
  <si>
    <t>Momo Hut — Retention Playbook</t>
  </si>
  <si>
    <t>Three measures selected from the simulated At-Risk findings; proposed, not implemented.</t>
  </si>
  <si>
    <t>Retention Measure</t>
  </si>
  <si>
    <t>Problem Addressed</t>
  </si>
  <si>
    <t>Target Customers</t>
  </si>
  <si>
    <t>How It Will Work</t>
  </si>
  <si>
    <t>Expected Benefit</t>
  </si>
  <si>
    <t>Primary KPI</t>
  </si>
  <si>
    <t>Owner</t>
  </si>
  <si>
    <t>Priority</t>
  </si>
  <si>
    <t>Personalized Comeback Offer</t>
  </si>
  <si>
    <t>Varied reasons for decline and low satisfaction</t>
  </si>
  <si>
    <t>All 14 strict At-Risk customers</t>
  </si>
  <si>
    <t>Send a personalized WhatsApp/SMS message using each customer's stated reason and preferred offer; include a 30-day redemption window.</t>
  </si>
  <si>
    <t>Shows that feedback was heard and gives a relevant reason to return.</t>
  </si>
  <si>
    <t>Offer redemption rate; repeat visit within 30 days</t>
  </si>
  <si>
    <t>Outlet Manager + Front-of-house</t>
  </si>
  <si>
    <t>Loyalty Stamp Card</t>
  </si>
  <si>
    <t>Strongest single preference is a loyalty-based reward</t>
  </si>
  <si>
    <t>14 At-Risk customers first; then open to all customers</t>
  </si>
  <si>
    <t>Stamp 1 visit per qualifying purchase; reward after 8 visits. Start with the 4 At-Risk customers who selected the loyalty offer.</t>
  </si>
  <si>
    <t>Creates a repeat-visit habit and a visible reward path.</t>
  </si>
  <si>
    <t>Enrollments; redemption rate; repeat visits/month</t>
  </si>
  <si>
    <t>Outlet Manager + Cashier</t>
  </si>
  <si>
    <t>2</t>
  </si>
  <si>
    <t>Frequency Recovery Challenge</t>
  </si>
  <si>
    <t>Current visit frequency is materially below earlier frequency</t>
  </si>
  <si>
    <t>All 14 strict At-Risk customers, prioritising largest visit drops</t>
  </si>
  <si>
    <t>Offer a small add-on or discount after 3 visits within 30 days; track visits using the stamp card.</t>
  </si>
  <si>
    <t>Directly targets the frequency decline and rebuilds the visit habit.</t>
  </si>
  <si>
    <t>Average current visits/month among enrolled At-Risk customers</t>
  </si>
  <si>
    <t>3</t>
  </si>
  <si>
    <t>Momo Hut — Implementation &amp; Projected Impact</t>
  </si>
  <si>
    <t>Measure</t>
  </si>
  <si>
    <t>Key Activities</t>
  </si>
  <si>
    <t>Responsible</t>
  </si>
  <si>
    <t>Timeline</t>
  </si>
  <si>
    <t>KPI</t>
  </si>
  <si>
    <t>Illustrative Target</t>
  </si>
  <si>
    <t>Cost / Effort</t>
  </si>
  <si>
    <t>Assumption</t>
  </si>
  <si>
    <t>Status</t>
  </si>
  <si>
    <t>Week 1: prepare messages. Week 2: contact At-Risk customers. Weeks 3–4: track redemption/return. Month 2: review by offer type.</t>
  </si>
  <si>
    <t>Outlet Manager / FOH</t>
  </si>
  <si>
    <t>Week 1–Month 2</t>
  </si>
  <si>
    <t>Redemption rate; repeat visit within 30 days</t>
  </si>
  <si>
    <t>≥40% of contacted customers redeem or return within 30 days</t>
  </si>
  <si>
    <t>Low — staff time</t>
  </si>
  <si>
    <t>40% response/return target is an academic assumption.</t>
  </si>
  <si>
    <t>Proposed</t>
  </si>
  <si>
    <t>Week 1: design/print. Week 2: launch. Weeks 3–4: enroll walk-ins and track stamps. Month 2: review redemption pace.</t>
  </si>
  <si>
    <t>Outlet Manager / Cashier</t>
  </si>
  <si>
    <t>Enrollments; redemption rate</t>
  </si>
  <si>
    <t>Enroll all 4 At-Risk customers who prefer loyalty in Week 2; grow monthly thereafter.</t>
  </si>
  <si>
    <t>Low — cards/stamp</t>
  </si>
  <si>
    <t>Initial target is based on stated preference count, not observed implementation.</t>
  </si>
  <si>
    <t>Week 1: define 3-visit/30-day reward and tracking. Week 2: launch. Weeks 3–4: monitor. Month 2: assess frequency change.</t>
  </si>
  <si>
    <t>Average visits/month</t>
  </si>
  <si>
    <t>Move enrolled At-Risk average toward earlier baseline.</t>
  </si>
  <si>
    <t>Low — staff time + reward cost</t>
  </si>
  <si>
    <t>Target uses prior average frequency as a directional ceiling, not a guaranteed outcome.</t>
  </si>
  <si>
    <t>Projected Impact — Illustrative Scenario</t>
  </si>
  <si>
    <t>Formula logic</t>
  </si>
  <si>
    <t>Strict behavioural At-Risk customers</t>
  </si>
  <si>
    <t>Projected retained = At-Risk customers × assumed retention rate.</t>
  </si>
  <si>
    <t>Assumed retention rate</t>
  </si>
  <si>
    <t>Incremental visits scenario = projected retained customers × 2 additional visits/month.</t>
  </si>
  <si>
    <t>Projected retained customers</t>
  </si>
  <si>
    <t>Incremental revenue scenario = incremental visits × average At-Risk spend/visit.</t>
  </si>
  <si>
    <t>Average current visits/month (At-Risk)</t>
  </si>
  <si>
    <t>Average earlier visits/month (At-Risk)</t>
  </si>
  <si>
    <t>Illustrative visit gap to recover</t>
  </si>
  <si>
    <t>Average spend/visit (At-Risk)</t>
  </si>
  <si>
    <t>Illustrative incremental visits/month if 30% retained customers add 2 visits</t>
  </si>
  <si>
    <t>Illustrative incremental monthly revenue</t>
  </si>
  <si>
    <t>Baseline vs Target KPI Framework</t>
  </si>
  <si>
    <t>Baseline</t>
  </si>
  <si>
    <t>Target</t>
  </si>
  <si>
    <t>Measurement</t>
  </si>
  <si>
    <t>Strict At-Risk retention</t>
  </si>
  <si>
    <t>Not available — not implemented</t>
  </si>
  <si>
    <t>≥30% illustrative</t>
  </si>
  <si>
    <t>Count returning At-Risk customers / contacted At-Risk customers</t>
  </si>
  <si>
    <t>Visit frequency</t>
  </si>
  <si>
    <t>1.8 current vs 6.4 earlier</t>
  </si>
  <si>
    <t>Move toward 6.4</t>
  </si>
  <si>
    <t>Monthly visits among enrolled At-Risk customers</t>
  </si>
  <si>
    <t>2.5/5 among strict At-Risk</t>
  </si>
  <si>
    <t>≥3.5/5 after service recovery (illustrative)</t>
  </si>
  <si>
    <t>Follow-up 1–5 satisfaction pulse</t>
  </si>
  <si>
    <t>Offer redemption</t>
  </si>
  <si>
    <t>Not available</t>
  </si>
  <si>
    <t>≥40% illustrative</t>
  </si>
  <si>
    <t>Redemptions / offers issued</t>
  </si>
  <si>
    <t>Loyalty participation</t>
  </si>
  <si>
    <t>4 initial At-Risk enrollments</t>
  </si>
  <si>
    <t>Loyalty registrations</t>
  </si>
  <si>
    <t>Momo Hut — Two-Visit Field Investigation Log (Simulated)</t>
  </si>
  <si>
    <t>Visit</t>
  </si>
  <si>
    <t>Date</t>
  </si>
  <si>
    <t>Time</t>
  </si>
  <si>
    <t>Purpose</t>
  </si>
  <si>
    <t>Staff/Owner Discussion — Key Points</t>
  </si>
  <si>
    <t>Customer Interaction Sample</t>
  </si>
  <si>
    <t>Observed CRM Opportunity</t>
  </si>
  <si>
    <t>Evidence / Notes</t>
  </si>
  <si>
    <t>6:30–8:30 PM</t>
  </si>
  <si>
    <t>Peak-hour observation + staff discussion</t>
  </si>
  <si>
    <t>Staff indicated repeat customers are recognised informally, but there is no customer database or structured loyalty tracking. Peak-hour waiting and seating pressure were recurring operational concerns.</t>
  </si>
  <si>
    <t>18 customers informally sampled; common comments: speed of service, value of combos, consistency of momo filling/sauce, and convenience for students/nearby workers.</t>
  </si>
  <si>
    <t>Create a simple customer register and capture visit frequency, satisfaction, complaint reason and preferred offer.</t>
  </si>
  <si>
    <t>Peak-hour observation + anonymised notes; simulated for academic use.</t>
  </si>
  <si>
    <t>1:00–3:00 PM</t>
  </si>
  <si>
    <t>Off-peak observation + customer questionnaire</t>
  </si>
  <si>
    <t>Staff reported stronger weekday dependence and more takeaway orders. They were open to low-cost loyalty and comeback offers that do not require a complex POS system.</t>
  </si>
  <si>
    <t>22 customers informally sampled; loyalty stamp card and combo offers were among the most acceptable ideas.</t>
  </si>
  <si>
    <t>Use a simple stamp-card + WhatsApp comeback workflow and track redemption/return.</t>
  </si>
  <si>
    <t>Off-peak observation + anonymised notes; simulated for academic use.</t>
  </si>
  <si>
    <t>Method note</t>
  </si>
  <si>
    <t>The assignment instruction requires at least two visits and informal interviews with owner/staff and a small customer sample. The above is a realistic simulation aligned to that requirement; it is not a claim that the team physically conducted these visits.</t>
  </si>
  <si>
    <t>Momo Hut — Data Dictionary &amp; Formula Notes</t>
  </si>
  <si>
    <t>Anonymised identifier M001–M080.</t>
  </si>
  <si>
    <t>Simulated questionnaire date across two field-visit windows.</t>
  </si>
  <si>
    <t>Self-reported current visit frequency.</t>
  </si>
  <si>
    <t>Self-reported visit frequency approximately 3–6 months earlier.</t>
  </si>
  <si>
    <t>Date used to calculate recency.</t>
  </si>
  <si>
    <t>Analysis Date minus Most Recent Visit.</t>
  </si>
  <si>
    <t>0–7 days=5; 8–15=4; 16–30=3; 31–45=2; &gt;45=1.</t>
  </si>
  <si>
    <t>Rank current visits/month high-to-low; 16-customer blocks map to 5–1.</t>
  </si>
  <si>
    <t>Rank average spend high-to-low; 16-customer blocks map to 5–1.</t>
  </si>
  <si>
    <t>R Score + F Score + M Score; range 3–15.</t>
  </si>
  <si>
    <t>Strict At-Risk</t>
  </si>
  <si>
    <t>Recency Days &gt;30 AND Earlier Visits ≥4 AND Current Visits &lt; Earlier Visits.</t>
  </si>
  <si>
    <t>RFM At-Risk</t>
  </si>
  <si>
    <t>R≤2 AND (F≥3 OR M≥3 OR Visiting Less Frequently?=Yes).</t>
  </si>
  <si>
    <t>Privacy</t>
  </si>
  <si>
    <t>Only anonymised IDs are used. No phone numbers, names or sensitive personal data are stored.</t>
  </si>
  <si>
    <t>All retention actions and impact figures are proposed/illustrative, not actual outcomes.</t>
  </si>
  <si>
    <t>24th-Aug-2026</t>
  </si>
  <si>
    <t>31st-Aug-2026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</si>
</sst>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Cambria"/>
      <family val="1"/>
    </font>
    <font>
      <b/>
      <sz val="13"/>
      <color rgb="FF17365D"/>
      <name val="Cambria"/>
      <family val="1"/>
    </font>
    <font>
      <b/>
      <sz val="11"/>
      <color rgb="FFC00000"/>
      <name val="Cambria"/>
      <family val="1"/>
    </font>
    <font>
      <i/>
      <sz val="11"/>
      <color rgb="FF666666"/>
      <name val="Cambria"/>
      <family val="1"/>
    </font>
    <font>
      <b/>
      <sz val="11"/>
      <color rgb="FFFFFFFF"/>
      <name val="Cambria"/>
      <family val="1"/>
    </font>
    <font>
      <sz val="11"/>
      <color theme="1"/>
      <name val="Times New Roman"/>
      <family val="1"/>
    </font>
    <font>
      <b/>
      <sz val="14"/>
      <color rgb="FF17365D"/>
      <name val="Times New Roman"/>
      <family val="1"/>
    </font>
    <font>
      <b/>
      <sz val="14"/>
      <color theme="1"/>
      <name val="Times New Roman"/>
      <family val="1"/>
    </font>
    <font>
      <b/>
      <sz val="13"/>
      <color rgb="FF17365D"/>
      <name val="Times New Roman"/>
      <family val="1"/>
    </font>
    <font>
      <b/>
      <sz val="14"/>
      <color theme="3" tint="-0.249977111117893"/>
      <name val="Times New Roman"/>
      <family val="1"/>
    </font>
    <font>
      <sz val="14"/>
      <color theme="3" tint="-0.249977111117893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17365D"/>
      <name val="Times New Roman"/>
      <family val="1"/>
    </font>
    <font>
      <b/>
      <sz val="12"/>
      <color rgb="FFFFFFFF"/>
      <name val="Times New Roman"/>
      <family val="1"/>
    </font>
    <font>
      <b/>
      <sz val="11"/>
      <color theme="1"/>
      <name val="Calibri"/>
      <family val="2"/>
      <charset val="1"/>
    </font>
    <font>
      <b/>
      <sz val="11"/>
      <color theme="3" tint="-0.249977111117893"/>
      <name val="Times New Roman"/>
      <family val="1"/>
    </font>
    <font>
      <b/>
      <sz val="12"/>
      <name val="Times New Roman"/>
      <family val="1"/>
    </font>
    <font>
      <b/>
      <sz val="12"/>
      <color rgb="FFC00000"/>
      <name val="Times New Roman"/>
      <family val="1"/>
    </font>
    <font>
      <sz val="11"/>
      <color theme="5" tint="-0.49998474074526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7" fillId="2" borderId="1" xfId="0" applyFont="1" applyFill="1" applyBorder="1"/>
    <xf numFmtId="0" fontId="8" fillId="2" borderId="1" xfId="0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3" borderId="0" xfId="0" applyFont="1" applyFill="1"/>
    <xf numFmtId="0" fontId="12" fillId="0" borderId="0" xfId="0" applyFont="1" applyAlignment="1">
      <alignment vertical="top" wrapText="1"/>
    </xf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4" borderId="0" xfId="0" applyFont="1" applyFill="1"/>
    <xf numFmtId="0" fontId="17" fillId="4" borderId="0" xfId="0" applyFont="1" applyFill="1"/>
    <xf numFmtId="0" fontId="18" fillId="0" borderId="0" xfId="0" applyFont="1"/>
    <xf numFmtId="0" fontId="20" fillId="5" borderId="0" xfId="0" applyFont="1" applyFill="1"/>
    <xf numFmtId="0" fontId="0" fillId="5" borderId="0" xfId="0" applyFill="1"/>
    <xf numFmtId="0" fontId="14" fillId="5" borderId="0" xfId="0" applyFont="1" applyFill="1"/>
    <xf numFmtId="0" fontId="12" fillId="5" borderId="0" xfId="0" applyFont="1" applyFill="1" applyAlignment="1">
      <alignment wrapText="1"/>
    </xf>
    <xf numFmtId="0" fontId="2" fillId="5" borderId="0" xfId="0" applyFont="1" applyFill="1"/>
    <xf numFmtId="0" fontId="9" fillId="5" borderId="0" xfId="0" applyFont="1" applyFill="1"/>
    <xf numFmtId="0" fontId="6" fillId="5" borderId="0" xfId="0" applyFont="1" applyFill="1"/>
    <xf numFmtId="0" fontId="13" fillId="3" borderId="0" xfId="0" applyFont="1" applyFill="1"/>
    <xf numFmtId="0" fontId="1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/>
    <xf numFmtId="0" fontId="16" fillId="4" borderId="0" xfId="0" applyFont="1" applyFill="1"/>
    <xf numFmtId="0" fontId="12" fillId="0" borderId="0" xfId="0" applyFont="1"/>
    <xf numFmtId="0" fontId="6" fillId="0" borderId="0" xfId="0" applyFont="1"/>
    <xf numFmtId="0" fontId="19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3" fillId="0" borderId="0" xfId="0" applyFont="1" applyAlignment="1">
      <alignment wrapText="1"/>
    </xf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1"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4BACC6"/>
      <rgbColor rgb="FF9BBB59"/>
      <rgbColor rgb="FFFFCC00"/>
      <rgbColor rgb="FFFF9900"/>
      <rgbColor rgb="FFFF6600"/>
      <rgbColor rgb="FF8064A2"/>
      <rgbColor rgb="FF969696"/>
      <rgbColor rgb="FF17365D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IN" sz="1800" b="1" strike="noStrike">
                <a:solidFill>
                  <a:srgbClr val="000000"/>
                </a:solidFill>
                <a:uFillTx/>
                <a:latin typeface="Calibri"/>
              </a:rPr>
              <a:t>Customer Segment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Segmentation'!$B$87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Segmentation'!$A$88:$A$92</c:f>
              <c:strCache>
                <c:ptCount val="5"/>
                <c:pt idx="0">
                  <c:v>Champions / Highly Loyal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At-Risk Customers</c:v>
                </c:pt>
                <c:pt idx="4">
                  <c:v>Inactive / Low Engagement</c:v>
                </c:pt>
              </c:strCache>
            </c:strRef>
          </c:cat>
          <c:val>
            <c:numRef>
              <c:f>'Customer Segmentation'!$B$88:$B$92</c:f>
              <c:numCache>
                <c:formatCode>General</c:formatCode>
                <c:ptCount val="5"/>
                <c:pt idx="0">
                  <c:v>9</c:v>
                </c:pt>
                <c:pt idx="1">
                  <c:v>20</c:v>
                </c:pt>
                <c:pt idx="2">
                  <c:v>14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0-4DBA-BE2E-CB68E62C4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84179"/>
        <c:axId val="78492815"/>
      </c:barChart>
      <c:catAx>
        <c:axId val="795841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IN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8492815"/>
        <c:crosses val="autoZero"/>
        <c:auto val="1"/>
        <c:lblAlgn val="ctr"/>
        <c:lblOffset val="100"/>
        <c:noMultiLvlLbl val="0"/>
      </c:catAx>
      <c:valAx>
        <c:axId val="78492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IN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958417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IN" sz="1800" b="1" strike="noStrike">
                <a:solidFill>
                  <a:srgbClr val="000000"/>
                </a:solidFill>
                <a:uFillTx/>
                <a:latin typeface="Calibri"/>
              </a:rPr>
              <a:t>Reasons for Reduced Visits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799662246685014"/>
          <c:y val="0.23731810712329421"/>
          <c:w val="0.74834016137102832"/>
          <c:h val="0.38693665801360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'At-Risk Insights'!$E$21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'At-Risk Insights'!$D$22:$D$26</c:f>
              <c:strCache>
                <c:ptCount val="5"/>
                <c:pt idx="0">
                  <c:v>Product / Quality</c:v>
                </c:pt>
                <c:pt idx="1">
                  <c:v>Service / Experience</c:v>
                </c:pt>
                <c:pt idx="2">
                  <c:v>Convenience / Location</c:v>
                </c:pt>
                <c:pt idx="3">
                  <c:v>Price / Affordability</c:v>
                </c:pt>
                <c:pt idx="4">
                  <c:v>Time / Schedule</c:v>
                </c:pt>
              </c:strCache>
            </c:strRef>
          </c:cat>
          <c:val>
            <c:numRef>
              <c:f>'At-Risk Insights'!$E$22:$E$26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E-4F42-B49C-3B29347A7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09794"/>
        <c:axId val="23069639"/>
      </c:barChart>
      <c:catAx>
        <c:axId val="286097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069639"/>
        <c:crosses val="autoZero"/>
        <c:auto val="1"/>
        <c:lblAlgn val="ctr"/>
        <c:lblOffset val="100"/>
        <c:noMultiLvlLbl val="0"/>
      </c:catAx>
      <c:valAx>
        <c:axId val="23069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IN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At-Risk Customers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860979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IN" sz="1800" b="1" strike="noStrike">
                <a:solidFill>
                  <a:srgbClr val="000000"/>
                </a:solidFill>
                <a:uFillTx/>
                <a:latin typeface="Calibri"/>
              </a:rPr>
              <a:t>Preferred Retention Offers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'At-Risk Insights'!$I$21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AA4-45E9-8585-BE487E74572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A4-45E9-8585-BE487E74572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A4-45E9-8585-BE487E74572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A4-45E9-8585-BE487E74572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AA4-45E9-8585-BE487E74572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AA4-45E9-8585-BE487E74572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AA4-45E9-8585-BE487E74572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AA4-45E9-8585-BE487E74572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AA4-45E9-8585-BE487E74572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AA4-45E9-8585-BE487E7457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'At-Risk Insights'!$H$22:$H$26</c:f>
              <c:strCache>
                <c:ptCount val="5"/>
                <c:pt idx="0">
                  <c:v>Loyalty stamp card</c:v>
                </c:pt>
                <c:pt idx="1">
                  <c:v>Combo meal deal</c:v>
                </c:pt>
                <c:pt idx="2">
                  <c:v>10% weekday discount</c:v>
                </c:pt>
                <c:pt idx="3">
                  <c:v>Free beverage add-on</c:v>
                </c:pt>
                <c:pt idx="4">
                  <c:v>Referral reward</c:v>
                </c:pt>
              </c:strCache>
            </c:strRef>
          </c:cat>
          <c:val>
            <c:numRef>
              <c:f>'At-Risk Insights'!$I$22:$I$26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A4-45E9-8585-BE487E745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1733550</xdr:colOff>
      <xdr:row>85</xdr:row>
      <xdr:rowOff>85725</xdr:rowOff>
    </xdr:from>
    <xdr:to>
      <xdr:col>7</xdr:col>
      <xdr:colOff>1240470</xdr:colOff>
      <xdr:row>97</xdr:row>
      <xdr:rowOff>149445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27</xdr:row>
      <xdr:rowOff>27360</xdr:rowOff>
    </xdr:from>
    <xdr:to>
      <xdr:col>5</xdr:col>
      <xdr:colOff>1789245</xdr:colOff>
      <xdr:row>40</xdr:row>
      <xdr:rowOff>70200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27360</xdr:rowOff>
    </xdr:from>
    <xdr:to>
      <xdr:col>10</xdr:col>
      <xdr:colOff>82440</xdr:colOff>
      <xdr:row>40</xdr:row>
      <xdr:rowOff>70200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showGridLines="0" zoomScaleNormal="100" workbookViewId="0">
      <selection activeCell="B27" sqref="B27"/>
    </sheetView>
  </sheetViews>
  <sheetFormatPr defaultColWidth="8.6640625" defaultRowHeight="15" customHeight="1" x14ac:dyDescent="0.3"/>
  <cols>
    <col min="1" max="1" width="28" customWidth="1"/>
    <col min="2" max="2" width="58.44140625" customWidth="1"/>
    <col min="3" max="8" width="14" customWidth="1"/>
  </cols>
  <sheetData>
    <row r="1" spans="1:8" ht="27.7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</row>
    <row r="3" spans="1:8" ht="15" customHeight="1" x14ac:dyDescent="0.3">
      <c r="A3" s="5" t="s">
        <v>1</v>
      </c>
      <c r="B3" s="6" t="s">
        <v>2</v>
      </c>
    </row>
    <row r="4" spans="1:8" ht="15" customHeight="1" x14ac:dyDescent="0.3">
      <c r="A4" s="5" t="s">
        <v>3</v>
      </c>
      <c r="B4" s="6" t="s">
        <v>4</v>
      </c>
    </row>
    <row r="5" spans="1:8" ht="15" customHeight="1" x14ac:dyDescent="0.3">
      <c r="A5" s="5" t="s">
        <v>5</v>
      </c>
      <c r="B5" s="6" t="s">
        <v>6</v>
      </c>
    </row>
    <row r="6" spans="1:8" ht="15" customHeight="1" x14ac:dyDescent="0.3">
      <c r="A6" s="5" t="s">
        <v>7</v>
      </c>
      <c r="B6" s="6" t="s">
        <v>8</v>
      </c>
    </row>
    <row r="7" spans="1:8" ht="15" customHeight="1" x14ac:dyDescent="0.3">
      <c r="A7" s="5" t="s">
        <v>9</v>
      </c>
      <c r="B7" s="6" t="s">
        <v>10</v>
      </c>
    </row>
    <row r="8" spans="1:8" ht="15" customHeight="1" x14ac:dyDescent="0.3">
      <c r="A8" s="5" t="s">
        <v>11</v>
      </c>
      <c r="B8" s="6">
        <v>46265</v>
      </c>
    </row>
    <row r="10" spans="1:8" ht="15.75" customHeight="1" x14ac:dyDescent="0.35">
      <c r="A10" s="7" t="s">
        <v>12</v>
      </c>
      <c r="B10" s="8"/>
    </row>
    <row r="11" spans="1:8" ht="15" customHeight="1" x14ac:dyDescent="0.35">
      <c r="A11" s="25" t="s">
        <v>13</v>
      </c>
      <c r="B11" s="25"/>
      <c r="C11" s="25"/>
      <c r="D11" s="25"/>
      <c r="E11" s="25"/>
      <c r="F11" s="25"/>
      <c r="G11" s="25"/>
      <c r="H11" s="25"/>
    </row>
    <row r="12" spans="1:8" ht="15" customHeight="1" x14ac:dyDescent="0.35">
      <c r="A12" s="25" t="s">
        <v>14</v>
      </c>
      <c r="B12" s="25"/>
      <c r="C12" s="25"/>
      <c r="D12" s="25"/>
      <c r="E12" s="25"/>
      <c r="F12" s="25"/>
      <c r="G12" s="25"/>
      <c r="H12" s="25"/>
    </row>
    <row r="13" spans="1:8" ht="15" customHeight="1" x14ac:dyDescent="0.35">
      <c r="A13" s="25" t="s">
        <v>15</v>
      </c>
      <c r="B13" s="25"/>
      <c r="C13" s="25"/>
      <c r="D13" s="25"/>
      <c r="E13" s="25"/>
      <c r="F13" s="25"/>
      <c r="G13" s="25"/>
      <c r="H13" s="25"/>
    </row>
    <row r="14" spans="1:8" ht="15" customHeight="1" x14ac:dyDescent="0.35">
      <c r="A14" s="25" t="s">
        <v>16</v>
      </c>
      <c r="B14" s="25"/>
      <c r="C14" s="25"/>
      <c r="D14" s="25"/>
      <c r="E14" s="25"/>
      <c r="F14" s="25"/>
      <c r="G14" s="25"/>
      <c r="H14" s="25"/>
    </row>
    <row r="15" spans="1:8" ht="15" customHeight="1" x14ac:dyDescent="0.35">
      <c r="A15" s="25" t="s">
        <v>17</v>
      </c>
      <c r="B15" s="25"/>
      <c r="C15" s="25"/>
      <c r="D15" s="25"/>
      <c r="E15" s="25"/>
      <c r="F15" s="25"/>
      <c r="G15" s="25"/>
      <c r="H15" s="25"/>
    </row>
    <row r="16" spans="1:8" ht="15" customHeight="1" x14ac:dyDescent="0.35">
      <c r="A16" s="25" t="s">
        <v>18</v>
      </c>
      <c r="B16" s="25"/>
      <c r="C16" s="25"/>
      <c r="D16" s="25"/>
      <c r="E16" s="25"/>
      <c r="F16" s="25"/>
      <c r="G16" s="25"/>
      <c r="H16" s="25"/>
    </row>
    <row r="17" spans="1:8" ht="15" customHeight="1" x14ac:dyDescent="0.35">
      <c r="A17" s="25" t="s">
        <v>19</v>
      </c>
      <c r="B17" s="25"/>
      <c r="C17" s="25"/>
      <c r="D17" s="25"/>
      <c r="E17" s="25"/>
      <c r="F17" s="25"/>
      <c r="G17" s="25"/>
      <c r="H17" s="25"/>
    </row>
    <row r="18" spans="1:8" ht="15" customHeight="1" x14ac:dyDescent="0.35">
      <c r="A18" s="25" t="s">
        <v>20</v>
      </c>
      <c r="B18" s="25"/>
      <c r="C18" s="25"/>
      <c r="D18" s="25"/>
      <c r="E18" s="25"/>
      <c r="F18" s="25"/>
      <c r="G18" s="25"/>
      <c r="H18" s="25"/>
    </row>
    <row r="19" spans="1:8" ht="15" customHeight="1" x14ac:dyDescent="0.35">
      <c r="A19" s="10" t="s">
        <v>21</v>
      </c>
      <c r="B19" s="10"/>
      <c r="C19" s="10"/>
      <c r="D19" s="10"/>
      <c r="E19" s="10"/>
      <c r="F19" s="10"/>
      <c r="G19" s="10"/>
      <c r="H19" s="10"/>
    </row>
    <row r="21" spans="1:8" ht="15" customHeight="1" x14ac:dyDescent="0.3">
      <c r="A21" s="2"/>
    </row>
    <row r="22" spans="1:8" ht="15" customHeight="1" x14ac:dyDescent="0.3">
      <c r="A22" s="28"/>
      <c r="B22" s="27"/>
      <c r="C22" s="27"/>
      <c r="D22" s="27"/>
      <c r="E22" s="27"/>
      <c r="F22" s="27"/>
      <c r="G22" s="27"/>
      <c r="H22" s="27"/>
    </row>
    <row r="23" spans="1:8" ht="15" customHeight="1" x14ac:dyDescent="0.3">
      <c r="A23" s="27"/>
      <c r="B23" s="27"/>
      <c r="C23" s="27"/>
      <c r="D23" s="27"/>
      <c r="E23" s="27"/>
      <c r="F23" s="27"/>
      <c r="G23" s="27"/>
      <c r="H23" s="27"/>
    </row>
  </sheetData>
  <mergeCells count="10">
    <mergeCell ref="A22:H23"/>
    <mergeCell ref="A18:H18"/>
    <mergeCell ref="A15:H15"/>
    <mergeCell ref="A16:H16"/>
    <mergeCell ref="A13:H13"/>
    <mergeCell ref="A11:H11"/>
    <mergeCell ref="A14:H14"/>
    <mergeCell ref="A1:H1"/>
    <mergeCell ref="A17:H17"/>
    <mergeCell ref="A12:H12"/>
  </mergeCells>
  <pageMargins left="0.25" right="0.25" top="0.5" bottom="0.5" header="0.511811023622047" footer="0.511811023622047"/>
  <pageSetup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84"/>
  <sheetViews>
    <sheetView showGridLines="0" zoomScaleNormal="100" workbookViewId="0">
      <pane ySplit="4" topLeftCell="A5" activePane="bottomLeft" state="frozen"/>
      <selection pane="bottomLeft" activeCell="K88" sqref="K88"/>
    </sheetView>
  </sheetViews>
  <sheetFormatPr defaultColWidth="8.6640625" defaultRowHeight="15" customHeight="1" x14ac:dyDescent="0.3"/>
  <cols>
    <col min="1" max="1" width="12" customWidth="1"/>
    <col min="2" max="2" width="14" customWidth="1"/>
    <col min="3" max="3" width="18" customWidth="1"/>
    <col min="4" max="6" width="16" customWidth="1"/>
    <col min="7" max="7" width="20" customWidth="1"/>
    <col min="8" max="8" width="18" customWidth="1"/>
    <col min="9" max="9" width="16" customWidth="1"/>
    <col min="10" max="10" width="22" customWidth="1"/>
    <col min="11" max="11" width="45" customWidth="1"/>
    <col min="12" max="12" width="15" customWidth="1"/>
    <col min="13" max="13" width="25" customWidth="1"/>
    <col min="14" max="14" width="45" customWidth="1"/>
  </cols>
  <sheetData>
    <row r="1" spans="1:14" ht="27.75" customHeight="1" x14ac:dyDescent="0.3">
      <c r="A1" s="26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5" customHeight="1" x14ac:dyDescent="0.3">
      <c r="A2" s="2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14" ht="27.75" customHeight="1" x14ac:dyDescent="0.3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</row>
    <row r="5" spans="1:14" ht="15" customHeight="1" x14ac:dyDescent="0.3">
      <c r="A5" s="11" t="s">
        <v>37</v>
      </c>
      <c r="B5" s="11">
        <v>46258</v>
      </c>
      <c r="C5" s="11" t="s">
        <v>38</v>
      </c>
      <c r="D5" s="11">
        <v>5</v>
      </c>
      <c r="E5" s="11">
        <v>8</v>
      </c>
      <c r="F5" s="11">
        <v>46263</v>
      </c>
      <c r="G5" s="11" t="s">
        <v>39</v>
      </c>
      <c r="H5" s="11">
        <v>369</v>
      </c>
      <c r="I5" s="11">
        <v>3</v>
      </c>
      <c r="J5" s="11" t="s">
        <v>40</v>
      </c>
      <c r="K5" s="11" t="s">
        <v>41</v>
      </c>
      <c r="L5" s="11" t="s">
        <v>40</v>
      </c>
      <c r="M5" s="11" t="s">
        <v>42</v>
      </c>
      <c r="N5" s="11" t="s">
        <v>43</v>
      </c>
    </row>
    <row r="6" spans="1:14" ht="15" customHeight="1" x14ac:dyDescent="0.3">
      <c r="A6" s="11" t="s">
        <v>44</v>
      </c>
      <c r="B6" s="11">
        <v>46263</v>
      </c>
      <c r="C6" s="11" t="s">
        <v>45</v>
      </c>
      <c r="D6" s="11">
        <v>1</v>
      </c>
      <c r="E6" s="11">
        <v>2</v>
      </c>
      <c r="F6" s="11">
        <v>46261</v>
      </c>
      <c r="G6" s="11" t="s">
        <v>46</v>
      </c>
      <c r="H6" s="11">
        <v>235</v>
      </c>
      <c r="I6" s="11">
        <v>3</v>
      </c>
      <c r="J6" s="11" t="s">
        <v>40</v>
      </c>
      <c r="K6" s="11" t="s">
        <v>47</v>
      </c>
      <c r="L6" s="11" t="s">
        <v>48</v>
      </c>
      <c r="M6" s="11" t="s">
        <v>49</v>
      </c>
      <c r="N6" s="11" t="s">
        <v>50</v>
      </c>
    </row>
    <row r="7" spans="1:14" ht="15" customHeight="1" x14ac:dyDescent="0.3">
      <c r="A7" s="11" t="s">
        <v>51</v>
      </c>
      <c r="B7" s="11">
        <v>46262</v>
      </c>
      <c r="C7" s="11" t="s">
        <v>52</v>
      </c>
      <c r="D7" s="11">
        <v>1</v>
      </c>
      <c r="E7" s="11">
        <v>6</v>
      </c>
      <c r="F7" s="11">
        <v>46233</v>
      </c>
      <c r="G7" s="11" t="s">
        <v>53</v>
      </c>
      <c r="H7" s="11">
        <v>402</v>
      </c>
      <c r="I7" s="11">
        <v>2</v>
      </c>
      <c r="J7" s="11" t="s">
        <v>40</v>
      </c>
      <c r="K7" s="11" t="s">
        <v>54</v>
      </c>
      <c r="L7" s="11" t="s">
        <v>55</v>
      </c>
      <c r="M7" s="11" t="s">
        <v>56</v>
      </c>
      <c r="N7" s="11" t="s">
        <v>57</v>
      </c>
    </row>
    <row r="8" spans="1:14" ht="15" customHeight="1" x14ac:dyDescent="0.3">
      <c r="A8" s="11" t="s">
        <v>58</v>
      </c>
      <c r="B8" s="11">
        <v>46262</v>
      </c>
      <c r="C8" s="11" t="s">
        <v>59</v>
      </c>
      <c r="D8" s="11">
        <v>6</v>
      </c>
      <c r="E8" s="11">
        <v>4</v>
      </c>
      <c r="F8" s="11">
        <v>46253</v>
      </c>
      <c r="G8" s="11" t="s">
        <v>46</v>
      </c>
      <c r="H8" s="11">
        <v>206</v>
      </c>
      <c r="I8" s="11">
        <v>2</v>
      </c>
      <c r="J8" s="11" t="s">
        <v>48</v>
      </c>
      <c r="K8" s="11"/>
      <c r="L8" s="11" t="s">
        <v>40</v>
      </c>
      <c r="M8" s="11" t="s">
        <v>56</v>
      </c>
      <c r="N8" s="11" t="s">
        <v>60</v>
      </c>
    </row>
    <row r="9" spans="1:14" ht="15" customHeight="1" x14ac:dyDescent="0.3">
      <c r="A9" s="11" t="s">
        <v>61</v>
      </c>
      <c r="B9" s="11">
        <v>46259</v>
      </c>
      <c r="C9" s="11" t="s">
        <v>62</v>
      </c>
      <c r="D9" s="11">
        <v>2</v>
      </c>
      <c r="E9" s="11">
        <v>3</v>
      </c>
      <c r="F9" s="11">
        <v>46221</v>
      </c>
      <c r="G9" s="11" t="s">
        <v>63</v>
      </c>
      <c r="H9" s="11">
        <v>430</v>
      </c>
      <c r="I9" s="11">
        <v>3</v>
      </c>
      <c r="J9" s="11" t="s">
        <v>40</v>
      </c>
      <c r="K9" s="11" t="s">
        <v>64</v>
      </c>
      <c r="L9" s="11" t="s">
        <v>48</v>
      </c>
      <c r="M9" s="11" t="s">
        <v>56</v>
      </c>
      <c r="N9" s="11" t="s">
        <v>60</v>
      </c>
    </row>
    <row r="10" spans="1:14" ht="15" customHeight="1" x14ac:dyDescent="0.3">
      <c r="A10" s="11" t="s">
        <v>65</v>
      </c>
      <c r="B10" s="11">
        <v>46258</v>
      </c>
      <c r="C10" s="11" t="s">
        <v>66</v>
      </c>
      <c r="D10" s="11">
        <v>3</v>
      </c>
      <c r="E10" s="11">
        <v>2</v>
      </c>
      <c r="F10" s="11">
        <v>46256</v>
      </c>
      <c r="G10" s="11" t="s">
        <v>67</v>
      </c>
      <c r="H10" s="11">
        <v>377</v>
      </c>
      <c r="I10" s="11">
        <v>3</v>
      </c>
      <c r="J10" s="11" t="s">
        <v>48</v>
      </c>
      <c r="K10" s="11"/>
      <c r="L10" s="11" t="s">
        <v>40</v>
      </c>
      <c r="M10" s="11" t="s">
        <v>68</v>
      </c>
      <c r="N10" s="11" t="s">
        <v>50</v>
      </c>
    </row>
    <row r="11" spans="1:14" ht="15" customHeight="1" x14ac:dyDescent="0.3">
      <c r="A11" s="11" t="s">
        <v>69</v>
      </c>
      <c r="B11" s="11">
        <v>46258</v>
      </c>
      <c r="C11" s="11" t="s">
        <v>38</v>
      </c>
      <c r="D11" s="11">
        <v>7</v>
      </c>
      <c r="E11" s="11">
        <v>6</v>
      </c>
      <c r="F11" s="11">
        <v>46237</v>
      </c>
      <c r="G11" s="11" t="s">
        <v>53</v>
      </c>
      <c r="H11" s="11">
        <v>273</v>
      </c>
      <c r="I11" s="11">
        <v>2</v>
      </c>
      <c r="J11" s="11" t="s">
        <v>48</v>
      </c>
      <c r="K11" s="11"/>
      <c r="L11" s="11" t="s">
        <v>55</v>
      </c>
      <c r="M11" s="11" t="s">
        <v>42</v>
      </c>
      <c r="N11" s="11" t="s">
        <v>70</v>
      </c>
    </row>
    <row r="12" spans="1:14" ht="15" customHeight="1" x14ac:dyDescent="0.3">
      <c r="A12" s="11" t="s">
        <v>71</v>
      </c>
      <c r="B12" s="11">
        <v>46262</v>
      </c>
      <c r="C12" s="11" t="s">
        <v>59</v>
      </c>
      <c r="D12" s="11">
        <v>1</v>
      </c>
      <c r="E12" s="11">
        <v>7</v>
      </c>
      <c r="F12" s="11">
        <v>46232</v>
      </c>
      <c r="G12" s="11" t="s">
        <v>72</v>
      </c>
      <c r="H12" s="11">
        <v>221</v>
      </c>
      <c r="I12" s="11">
        <v>3</v>
      </c>
      <c r="J12" s="11" t="s">
        <v>40</v>
      </c>
      <c r="K12" s="11" t="s">
        <v>73</v>
      </c>
      <c r="L12" s="11" t="s">
        <v>40</v>
      </c>
      <c r="M12" s="11" t="s">
        <v>42</v>
      </c>
      <c r="N12" s="11" t="s">
        <v>50</v>
      </c>
    </row>
    <row r="13" spans="1:14" ht="15" customHeight="1" x14ac:dyDescent="0.3">
      <c r="A13" s="11" t="s">
        <v>74</v>
      </c>
      <c r="B13" s="11">
        <v>46259</v>
      </c>
      <c r="C13" s="11" t="s">
        <v>62</v>
      </c>
      <c r="D13" s="11">
        <v>4</v>
      </c>
      <c r="E13" s="11">
        <v>2</v>
      </c>
      <c r="F13" s="11">
        <v>46253</v>
      </c>
      <c r="G13" s="11" t="s">
        <v>46</v>
      </c>
      <c r="H13" s="11">
        <v>282</v>
      </c>
      <c r="I13" s="11">
        <v>3</v>
      </c>
      <c r="J13" s="11" t="s">
        <v>48</v>
      </c>
      <c r="K13" s="11"/>
      <c r="L13" s="11" t="s">
        <v>40</v>
      </c>
      <c r="M13" s="11" t="s">
        <v>75</v>
      </c>
      <c r="N13" s="11" t="s">
        <v>60</v>
      </c>
    </row>
    <row r="14" spans="1:14" ht="15" customHeight="1" x14ac:dyDescent="0.3">
      <c r="A14" s="11" t="s">
        <v>76</v>
      </c>
      <c r="B14" s="11">
        <v>46263</v>
      </c>
      <c r="C14" s="11" t="s">
        <v>38</v>
      </c>
      <c r="D14" s="11">
        <v>6</v>
      </c>
      <c r="E14" s="11">
        <v>5</v>
      </c>
      <c r="F14" s="11">
        <v>46249</v>
      </c>
      <c r="G14" s="11" t="s">
        <v>39</v>
      </c>
      <c r="H14" s="11">
        <v>216</v>
      </c>
      <c r="I14" s="11">
        <v>3</v>
      </c>
      <c r="J14" s="11" t="s">
        <v>48</v>
      </c>
      <c r="K14" s="11"/>
      <c r="L14" s="11" t="s">
        <v>40</v>
      </c>
      <c r="M14" s="11" t="s">
        <v>77</v>
      </c>
      <c r="N14" s="11" t="s">
        <v>70</v>
      </c>
    </row>
    <row r="15" spans="1:14" ht="15" customHeight="1" x14ac:dyDescent="0.3">
      <c r="A15" s="11" t="s">
        <v>78</v>
      </c>
      <c r="B15" s="11">
        <v>46259</v>
      </c>
      <c r="C15" s="11" t="s">
        <v>62</v>
      </c>
      <c r="D15" s="11">
        <v>3</v>
      </c>
      <c r="E15" s="11">
        <v>5</v>
      </c>
      <c r="F15" s="11">
        <v>46259</v>
      </c>
      <c r="G15" s="11" t="s">
        <v>53</v>
      </c>
      <c r="H15" s="11">
        <v>310</v>
      </c>
      <c r="I15" s="11">
        <v>4</v>
      </c>
      <c r="J15" s="11" t="s">
        <v>40</v>
      </c>
      <c r="K15" s="11" t="s">
        <v>79</v>
      </c>
      <c r="L15" s="11" t="s">
        <v>40</v>
      </c>
      <c r="M15" s="11" t="s">
        <v>68</v>
      </c>
      <c r="N15" s="11" t="s">
        <v>43</v>
      </c>
    </row>
    <row r="16" spans="1:14" ht="15" customHeight="1" x14ac:dyDescent="0.3">
      <c r="A16" s="11" t="s">
        <v>80</v>
      </c>
      <c r="B16" s="11">
        <v>46258</v>
      </c>
      <c r="C16" s="11" t="s">
        <v>62</v>
      </c>
      <c r="D16" s="11">
        <v>1</v>
      </c>
      <c r="E16" s="11">
        <v>8</v>
      </c>
      <c r="F16" s="11">
        <v>46230</v>
      </c>
      <c r="G16" s="11" t="s">
        <v>63</v>
      </c>
      <c r="H16" s="11">
        <v>196</v>
      </c>
      <c r="I16" s="11">
        <v>2</v>
      </c>
      <c r="J16" s="11" t="s">
        <v>40</v>
      </c>
      <c r="K16" s="11" t="s">
        <v>81</v>
      </c>
      <c r="L16" s="11" t="s">
        <v>55</v>
      </c>
      <c r="M16" s="11" t="s">
        <v>82</v>
      </c>
      <c r="N16" s="11" t="s">
        <v>70</v>
      </c>
    </row>
    <row r="17" spans="1:14" ht="15" customHeight="1" x14ac:dyDescent="0.3">
      <c r="A17" s="11" t="s">
        <v>83</v>
      </c>
      <c r="B17" s="11">
        <v>46263</v>
      </c>
      <c r="C17" s="11" t="s">
        <v>45</v>
      </c>
      <c r="D17" s="11">
        <v>8</v>
      </c>
      <c r="E17" s="11">
        <v>8</v>
      </c>
      <c r="F17" s="11">
        <v>46239</v>
      </c>
      <c r="G17" s="11" t="s">
        <v>46</v>
      </c>
      <c r="H17" s="11">
        <v>248</v>
      </c>
      <c r="I17" s="11">
        <v>4</v>
      </c>
      <c r="J17" s="11" t="s">
        <v>48</v>
      </c>
      <c r="K17" s="11"/>
      <c r="L17" s="11" t="s">
        <v>55</v>
      </c>
      <c r="M17" s="11" t="s">
        <v>49</v>
      </c>
      <c r="N17" s="11" t="s">
        <v>70</v>
      </c>
    </row>
    <row r="18" spans="1:14" ht="15" customHeight="1" x14ac:dyDescent="0.3">
      <c r="A18" s="11" t="s">
        <v>84</v>
      </c>
      <c r="B18" s="11">
        <v>46262</v>
      </c>
      <c r="C18" s="11" t="s">
        <v>62</v>
      </c>
      <c r="D18" s="11">
        <v>3</v>
      </c>
      <c r="E18" s="11">
        <v>2</v>
      </c>
      <c r="F18" s="11">
        <v>46240</v>
      </c>
      <c r="G18" s="11" t="s">
        <v>85</v>
      </c>
      <c r="H18" s="11">
        <v>247</v>
      </c>
      <c r="I18" s="11">
        <v>5</v>
      </c>
      <c r="J18" s="11" t="s">
        <v>48</v>
      </c>
      <c r="K18" s="11"/>
      <c r="L18" s="11" t="s">
        <v>40</v>
      </c>
      <c r="M18" s="11" t="s">
        <v>75</v>
      </c>
      <c r="N18" s="11" t="s">
        <v>43</v>
      </c>
    </row>
    <row r="19" spans="1:14" ht="15" customHeight="1" x14ac:dyDescent="0.3">
      <c r="A19" s="11" t="s">
        <v>86</v>
      </c>
      <c r="B19" s="11">
        <v>46262</v>
      </c>
      <c r="C19" s="11" t="s">
        <v>66</v>
      </c>
      <c r="D19" s="11">
        <v>5</v>
      </c>
      <c r="E19" s="11">
        <v>7</v>
      </c>
      <c r="F19" s="11">
        <v>46259</v>
      </c>
      <c r="G19" s="11" t="s">
        <v>87</v>
      </c>
      <c r="H19" s="11">
        <v>275</v>
      </c>
      <c r="I19" s="11">
        <v>4</v>
      </c>
      <c r="J19" s="11" t="s">
        <v>40</v>
      </c>
      <c r="K19" s="11" t="s">
        <v>88</v>
      </c>
      <c r="L19" s="11" t="s">
        <v>48</v>
      </c>
      <c r="M19" s="11" t="s">
        <v>68</v>
      </c>
      <c r="N19" s="11" t="s">
        <v>89</v>
      </c>
    </row>
    <row r="20" spans="1:14" ht="27.75" customHeight="1" x14ac:dyDescent="0.3">
      <c r="A20" s="11" t="s">
        <v>90</v>
      </c>
      <c r="B20" s="11">
        <v>46258</v>
      </c>
      <c r="C20" s="11" t="s">
        <v>62</v>
      </c>
      <c r="D20" s="11">
        <v>1</v>
      </c>
      <c r="E20" s="11">
        <v>6</v>
      </c>
      <c r="F20" s="11">
        <v>46227</v>
      </c>
      <c r="G20" s="11" t="s">
        <v>46</v>
      </c>
      <c r="H20" s="11">
        <v>386</v>
      </c>
      <c r="I20" s="11">
        <v>1</v>
      </c>
      <c r="J20" s="11" t="s">
        <v>40</v>
      </c>
      <c r="K20" s="11" t="s">
        <v>91</v>
      </c>
      <c r="L20" s="11" t="s">
        <v>40</v>
      </c>
      <c r="M20" s="11" t="s">
        <v>49</v>
      </c>
      <c r="N20" s="11" t="s">
        <v>43</v>
      </c>
    </row>
    <row r="21" spans="1:14" ht="15" customHeight="1" x14ac:dyDescent="0.3">
      <c r="A21" s="11" t="s">
        <v>92</v>
      </c>
      <c r="B21" s="11">
        <v>46262</v>
      </c>
      <c r="C21" s="11" t="s">
        <v>38</v>
      </c>
      <c r="D21" s="11">
        <v>5</v>
      </c>
      <c r="E21" s="11">
        <v>3</v>
      </c>
      <c r="F21" s="11">
        <v>46246</v>
      </c>
      <c r="G21" s="11" t="s">
        <v>93</v>
      </c>
      <c r="H21" s="11">
        <v>376</v>
      </c>
      <c r="I21" s="11">
        <v>2</v>
      </c>
      <c r="J21" s="11" t="s">
        <v>48</v>
      </c>
      <c r="K21" s="11"/>
      <c r="L21" s="11" t="s">
        <v>48</v>
      </c>
      <c r="M21" s="11" t="s">
        <v>82</v>
      </c>
      <c r="N21" s="11" t="s">
        <v>94</v>
      </c>
    </row>
    <row r="22" spans="1:14" ht="15" customHeight="1" x14ac:dyDescent="0.3">
      <c r="A22" s="11" t="s">
        <v>95</v>
      </c>
      <c r="B22" s="11">
        <v>46263</v>
      </c>
      <c r="C22" s="11" t="s">
        <v>62</v>
      </c>
      <c r="D22" s="11">
        <v>3</v>
      </c>
      <c r="E22" s="11">
        <v>5</v>
      </c>
      <c r="F22" s="11">
        <v>46246</v>
      </c>
      <c r="G22" s="11" t="s">
        <v>96</v>
      </c>
      <c r="H22" s="11">
        <v>373</v>
      </c>
      <c r="I22" s="11">
        <v>4</v>
      </c>
      <c r="J22" s="11" t="s">
        <v>40</v>
      </c>
      <c r="K22" s="11" t="s">
        <v>47</v>
      </c>
      <c r="L22" s="11" t="s">
        <v>40</v>
      </c>
      <c r="M22" s="11" t="s">
        <v>77</v>
      </c>
      <c r="N22" s="11" t="s">
        <v>70</v>
      </c>
    </row>
    <row r="23" spans="1:14" ht="15" customHeight="1" x14ac:dyDescent="0.3">
      <c r="A23" s="11" t="s">
        <v>97</v>
      </c>
      <c r="B23" s="11">
        <v>46259</v>
      </c>
      <c r="C23" s="11" t="s">
        <v>38</v>
      </c>
      <c r="D23" s="11">
        <v>6</v>
      </c>
      <c r="E23" s="11">
        <v>6</v>
      </c>
      <c r="F23" s="11">
        <v>46249</v>
      </c>
      <c r="G23" s="11" t="s">
        <v>72</v>
      </c>
      <c r="H23" s="11">
        <v>210</v>
      </c>
      <c r="I23" s="11">
        <v>3</v>
      </c>
      <c r="J23" s="11" t="s">
        <v>48</v>
      </c>
      <c r="K23" s="11"/>
      <c r="L23" s="11" t="s">
        <v>40</v>
      </c>
      <c r="M23" s="11" t="s">
        <v>56</v>
      </c>
      <c r="N23" s="11" t="s">
        <v>89</v>
      </c>
    </row>
    <row r="24" spans="1:14" ht="15" customHeight="1" x14ac:dyDescent="0.3">
      <c r="A24" s="11" t="s">
        <v>98</v>
      </c>
      <c r="B24" s="11">
        <v>46258</v>
      </c>
      <c r="C24" s="11" t="s">
        <v>38</v>
      </c>
      <c r="D24" s="11">
        <v>2</v>
      </c>
      <c r="E24" s="11">
        <v>8</v>
      </c>
      <c r="F24" s="11">
        <v>46215</v>
      </c>
      <c r="G24" s="11" t="s">
        <v>72</v>
      </c>
      <c r="H24" s="11">
        <v>341</v>
      </c>
      <c r="I24" s="11">
        <v>4</v>
      </c>
      <c r="J24" s="11" t="s">
        <v>40</v>
      </c>
      <c r="K24" s="11" t="s">
        <v>99</v>
      </c>
      <c r="L24" s="11" t="s">
        <v>55</v>
      </c>
      <c r="M24" s="11" t="s">
        <v>42</v>
      </c>
      <c r="N24" s="11" t="s">
        <v>60</v>
      </c>
    </row>
    <row r="25" spans="1:14" ht="15" customHeight="1" x14ac:dyDescent="0.3">
      <c r="A25" s="11" t="s">
        <v>100</v>
      </c>
      <c r="B25" s="11">
        <v>46259</v>
      </c>
      <c r="C25" s="11" t="s">
        <v>66</v>
      </c>
      <c r="D25" s="11">
        <v>5</v>
      </c>
      <c r="E25" s="11">
        <v>4</v>
      </c>
      <c r="F25" s="11">
        <v>46248</v>
      </c>
      <c r="G25" s="11" t="s">
        <v>39</v>
      </c>
      <c r="H25" s="11">
        <v>234</v>
      </c>
      <c r="I25" s="11">
        <v>4</v>
      </c>
      <c r="J25" s="11" t="s">
        <v>48</v>
      </c>
      <c r="K25" s="11"/>
      <c r="L25" s="11" t="s">
        <v>48</v>
      </c>
      <c r="M25" s="11" t="s">
        <v>75</v>
      </c>
      <c r="N25" s="11" t="s">
        <v>101</v>
      </c>
    </row>
    <row r="26" spans="1:14" ht="15" customHeight="1" x14ac:dyDescent="0.3">
      <c r="A26" s="11" t="s">
        <v>102</v>
      </c>
      <c r="B26" s="11">
        <v>46258</v>
      </c>
      <c r="C26" s="11" t="s">
        <v>62</v>
      </c>
      <c r="D26" s="11">
        <v>1</v>
      </c>
      <c r="E26" s="11">
        <v>4</v>
      </c>
      <c r="F26" s="11">
        <v>46260</v>
      </c>
      <c r="G26" s="11" t="s">
        <v>63</v>
      </c>
      <c r="H26" s="11">
        <v>348</v>
      </c>
      <c r="I26" s="11">
        <v>3</v>
      </c>
      <c r="J26" s="11" t="s">
        <v>40</v>
      </c>
      <c r="K26" s="11" t="s">
        <v>41</v>
      </c>
      <c r="L26" s="11" t="s">
        <v>55</v>
      </c>
      <c r="M26" s="11" t="s">
        <v>82</v>
      </c>
      <c r="N26" s="11" t="s">
        <v>101</v>
      </c>
    </row>
    <row r="27" spans="1:14" ht="15" customHeight="1" x14ac:dyDescent="0.3">
      <c r="A27" s="11" t="s">
        <v>103</v>
      </c>
      <c r="B27" s="11">
        <v>46259</v>
      </c>
      <c r="C27" s="11" t="s">
        <v>38</v>
      </c>
      <c r="D27" s="11">
        <v>2</v>
      </c>
      <c r="E27" s="11">
        <v>2</v>
      </c>
      <c r="F27" s="11">
        <v>46240</v>
      </c>
      <c r="G27" s="11" t="s">
        <v>46</v>
      </c>
      <c r="H27" s="11">
        <v>266</v>
      </c>
      <c r="I27" s="11">
        <v>4</v>
      </c>
      <c r="J27" s="11" t="s">
        <v>48</v>
      </c>
      <c r="K27" s="11"/>
      <c r="L27" s="11" t="s">
        <v>40</v>
      </c>
      <c r="M27" s="11" t="s">
        <v>42</v>
      </c>
      <c r="N27" s="11" t="s">
        <v>50</v>
      </c>
    </row>
    <row r="28" spans="1:14" ht="15" customHeight="1" x14ac:dyDescent="0.3">
      <c r="A28" s="11" t="s">
        <v>104</v>
      </c>
      <c r="B28" s="11">
        <v>46258</v>
      </c>
      <c r="C28" s="11" t="s">
        <v>62</v>
      </c>
      <c r="D28" s="11">
        <v>3</v>
      </c>
      <c r="E28" s="11">
        <v>3</v>
      </c>
      <c r="F28" s="11">
        <v>46258</v>
      </c>
      <c r="G28" s="11" t="s">
        <v>85</v>
      </c>
      <c r="H28" s="11">
        <v>251</v>
      </c>
      <c r="I28" s="11">
        <v>4</v>
      </c>
      <c r="J28" s="11" t="s">
        <v>48</v>
      </c>
      <c r="K28" s="11"/>
      <c r="L28" s="11" t="s">
        <v>40</v>
      </c>
      <c r="M28" s="11" t="s">
        <v>82</v>
      </c>
      <c r="N28" s="11" t="s">
        <v>43</v>
      </c>
    </row>
    <row r="29" spans="1:14" ht="15" customHeight="1" x14ac:dyDescent="0.3">
      <c r="A29" s="11" t="s">
        <v>105</v>
      </c>
      <c r="B29" s="11">
        <v>46259</v>
      </c>
      <c r="C29" s="11" t="s">
        <v>66</v>
      </c>
      <c r="D29" s="11">
        <v>3</v>
      </c>
      <c r="E29" s="11">
        <v>5</v>
      </c>
      <c r="F29" s="11">
        <v>46222</v>
      </c>
      <c r="G29" s="11" t="s">
        <v>87</v>
      </c>
      <c r="H29" s="11">
        <v>397</v>
      </c>
      <c r="I29" s="11">
        <v>3</v>
      </c>
      <c r="J29" s="11" t="s">
        <v>40</v>
      </c>
      <c r="K29" s="11" t="s">
        <v>106</v>
      </c>
      <c r="L29" s="11" t="s">
        <v>55</v>
      </c>
      <c r="M29" s="11" t="s">
        <v>56</v>
      </c>
      <c r="N29" s="11" t="s">
        <v>101</v>
      </c>
    </row>
    <row r="30" spans="1:14" ht="15" customHeight="1" x14ac:dyDescent="0.3">
      <c r="A30" s="11" t="s">
        <v>107</v>
      </c>
      <c r="B30" s="11">
        <v>46263</v>
      </c>
      <c r="C30" s="11" t="s">
        <v>45</v>
      </c>
      <c r="D30" s="11">
        <v>3</v>
      </c>
      <c r="E30" s="11">
        <v>3</v>
      </c>
      <c r="F30" s="11">
        <v>46263</v>
      </c>
      <c r="G30" s="11" t="s">
        <v>72</v>
      </c>
      <c r="H30" s="11">
        <v>279</v>
      </c>
      <c r="I30" s="11">
        <v>3</v>
      </c>
      <c r="J30" s="11" t="s">
        <v>48</v>
      </c>
      <c r="K30" s="11"/>
      <c r="L30" s="11" t="s">
        <v>55</v>
      </c>
      <c r="M30" s="11" t="s">
        <v>56</v>
      </c>
      <c r="N30" s="11" t="s">
        <v>57</v>
      </c>
    </row>
    <row r="31" spans="1:14" ht="15" customHeight="1" x14ac:dyDescent="0.3">
      <c r="A31" s="11" t="s">
        <v>108</v>
      </c>
      <c r="B31" s="11">
        <v>46258</v>
      </c>
      <c r="C31" s="11" t="s">
        <v>59</v>
      </c>
      <c r="D31" s="11">
        <v>2</v>
      </c>
      <c r="E31" s="11">
        <v>4</v>
      </c>
      <c r="F31" s="11">
        <v>46262</v>
      </c>
      <c r="G31" s="11" t="s">
        <v>93</v>
      </c>
      <c r="H31" s="11">
        <v>328</v>
      </c>
      <c r="I31" s="11">
        <v>4</v>
      </c>
      <c r="J31" s="11" t="s">
        <v>40</v>
      </c>
      <c r="K31" s="11" t="s">
        <v>47</v>
      </c>
      <c r="L31" s="11" t="s">
        <v>40</v>
      </c>
      <c r="M31" s="11" t="s">
        <v>77</v>
      </c>
      <c r="N31" s="11" t="s">
        <v>60</v>
      </c>
    </row>
    <row r="32" spans="1:14" ht="15" customHeight="1" x14ac:dyDescent="0.3">
      <c r="A32" s="11" t="s">
        <v>109</v>
      </c>
      <c r="B32" s="11">
        <v>46258</v>
      </c>
      <c r="C32" s="11" t="s">
        <v>38</v>
      </c>
      <c r="D32" s="11">
        <v>6</v>
      </c>
      <c r="E32" s="11">
        <v>6</v>
      </c>
      <c r="F32" s="11">
        <v>46247</v>
      </c>
      <c r="G32" s="11" t="s">
        <v>63</v>
      </c>
      <c r="H32" s="11">
        <v>220</v>
      </c>
      <c r="I32" s="11">
        <v>2</v>
      </c>
      <c r="J32" s="11" t="s">
        <v>48</v>
      </c>
      <c r="K32" s="11"/>
      <c r="L32" s="11" t="s">
        <v>48</v>
      </c>
      <c r="M32" s="11" t="s">
        <v>49</v>
      </c>
      <c r="N32" s="11" t="s">
        <v>94</v>
      </c>
    </row>
    <row r="33" spans="1:14" ht="15" customHeight="1" x14ac:dyDescent="0.3">
      <c r="A33" s="11" t="s">
        <v>110</v>
      </c>
      <c r="B33" s="11">
        <v>46258</v>
      </c>
      <c r="C33" s="11" t="s">
        <v>66</v>
      </c>
      <c r="D33" s="11">
        <v>10</v>
      </c>
      <c r="E33" s="11">
        <v>8</v>
      </c>
      <c r="F33" s="11">
        <v>46256</v>
      </c>
      <c r="G33" s="11" t="s">
        <v>93</v>
      </c>
      <c r="H33" s="11">
        <v>283</v>
      </c>
      <c r="I33" s="11">
        <v>2</v>
      </c>
      <c r="J33" s="11" t="s">
        <v>48</v>
      </c>
      <c r="K33" s="11"/>
      <c r="L33" s="11" t="s">
        <v>48</v>
      </c>
      <c r="M33" s="11" t="s">
        <v>42</v>
      </c>
      <c r="N33" s="11" t="s">
        <v>89</v>
      </c>
    </row>
    <row r="34" spans="1:14" ht="15" customHeight="1" x14ac:dyDescent="0.3">
      <c r="A34" s="11" t="s">
        <v>111</v>
      </c>
      <c r="B34" s="11">
        <v>46259</v>
      </c>
      <c r="C34" s="11" t="s">
        <v>52</v>
      </c>
      <c r="D34" s="11">
        <v>7</v>
      </c>
      <c r="E34" s="11">
        <v>7</v>
      </c>
      <c r="F34" s="11">
        <v>46253</v>
      </c>
      <c r="G34" s="11" t="s">
        <v>39</v>
      </c>
      <c r="H34" s="11">
        <v>419</v>
      </c>
      <c r="I34" s="11">
        <v>3</v>
      </c>
      <c r="J34" s="11" t="s">
        <v>48</v>
      </c>
      <c r="K34" s="11"/>
      <c r="L34" s="11" t="s">
        <v>48</v>
      </c>
      <c r="M34" s="11" t="s">
        <v>77</v>
      </c>
      <c r="N34" s="11" t="s">
        <v>60</v>
      </c>
    </row>
    <row r="35" spans="1:14" ht="15" customHeight="1" x14ac:dyDescent="0.3">
      <c r="A35" s="11" t="s">
        <v>112</v>
      </c>
      <c r="B35" s="11">
        <v>46258</v>
      </c>
      <c r="C35" s="11" t="s">
        <v>59</v>
      </c>
      <c r="D35" s="11">
        <v>3</v>
      </c>
      <c r="E35" s="11">
        <v>6</v>
      </c>
      <c r="F35" s="11">
        <v>46221</v>
      </c>
      <c r="G35" s="11" t="s">
        <v>85</v>
      </c>
      <c r="H35" s="11">
        <v>256</v>
      </c>
      <c r="I35" s="11">
        <v>2</v>
      </c>
      <c r="J35" s="11" t="s">
        <v>40</v>
      </c>
      <c r="K35" s="11" t="s">
        <v>113</v>
      </c>
      <c r="L35" s="11" t="s">
        <v>40</v>
      </c>
      <c r="M35" s="11" t="s">
        <v>49</v>
      </c>
      <c r="N35" s="11" t="s">
        <v>101</v>
      </c>
    </row>
    <row r="36" spans="1:14" ht="15" customHeight="1" x14ac:dyDescent="0.3">
      <c r="A36" s="11" t="s">
        <v>114</v>
      </c>
      <c r="B36" s="11">
        <v>46262</v>
      </c>
      <c r="C36" s="11" t="s">
        <v>45</v>
      </c>
      <c r="D36" s="11">
        <v>4</v>
      </c>
      <c r="E36" s="11">
        <v>4</v>
      </c>
      <c r="F36" s="11">
        <v>46255</v>
      </c>
      <c r="G36" s="11" t="s">
        <v>46</v>
      </c>
      <c r="H36" s="11">
        <v>213</v>
      </c>
      <c r="I36" s="11">
        <v>5</v>
      </c>
      <c r="J36" s="11" t="s">
        <v>48</v>
      </c>
      <c r="K36" s="11"/>
      <c r="L36" s="11" t="s">
        <v>40</v>
      </c>
      <c r="M36" s="11" t="s">
        <v>42</v>
      </c>
      <c r="N36" s="11" t="s">
        <v>60</v>
      </c>
    </row>
    <row r="37" spans="1:14" ht="15" customHeight="1" x14ac:dyDescent="0.3">
      <c r="A37" s="11" t="s">
        <v>115</v>
      </c>
      <c r="B37" s="11">
        <v>46262</v>
      </c>
      <c r="C37" s="11" t="s">
        <v>62</v>
      </c>
      <c r="D37" s="11">
        <v>7</v>
      </c>
      <c r="E37" s="11">
        <v>6</v>
      </c>
      <c r="F37" s="11">
        <v>46254</v>
      </c>
      <c r="G37" s="11" t="s">
        <v>63</v>
      </c>
      <c r="H37" s="11">
        <v>336</v>
      </c>
      <c r="I37" s="11">
        <v>5</v>
      </c>
      <c r="J37" s="11" t="s">
        <v>48</v>
      </c>
      <c r="K37" s="11"/>
      <c r="L37" s="11" t="s">
        <v>48</v>
      </c>
      <c r="M37" s="11" t="s">
        <v>75</v>
      </c>
      <c r="N37" s="11" t="s">
        <v>89</v>
      </c>
    </row>
    <row r="38" spans="1:14" ht="15" customHeight="1" x14ac:dyDescent="0.3">
      <c r="A38" s="11" t="s">
        <v>116</v>
      </c>
      <c r="B38" s="11">
        <v>46262</v>
      </c>
      <c r="C38" s="11" t="s">
        <v>38</v>
      </c>
      <c r="D38" s="11">
        <v>2</v>
      </c>
      <c r="E38" s="11">
        <v>3</v>
      </c>
      <c r="F38" s="11">
        <v>46260</v>
      </c>
      <c r="G38" s="11" t="s">
        <v>72</v>
      </c>
      <c r="H38" s="11">
        <v>407</v>
      </c>
      <c r="I38" s="11">
        <v>2</v>
      </c>
      <c r="J38" s="11" t="s">
        <v>40</v>
      </c>
      <c r="K38" s="11" t="s">
        <v>117</v>
      </c>
      <c r="L38" s="11" t="s">
        <v>48</v>
      </c>
      <c r="M38" s="11" t="s">
        <v>42</v>
      </c>
      <c r="N38" s="11" t="s">
        <v>70</v>
      </c>
    </row>
    <row r="39" spans="1:14" ht="15" customHeight="1" x14ac:dyDescent="0.3">
      <c r="A39" s="11" t="s">
        <v>118</v>
      </c>
      <c r="B39" s="11">
        <v>46262</v>
      </c>
      <c r="C39" s="11" t="s">
        <v>59</v>
      </c>
      <c r="D39" s="11">
        <v>8</v>
      </c>
      <c r="E39" s="11">
        <v>9</v>
      </c>
      <c r="F39" s="11">
        <v>46257</v>
      </c>
      <c r="G39" s="11" t="s">
        <v>63</v>
      </c>
      <c r="H39" s="11">
        <v>355</v>
      </c>
      <c r="I39" s="11">
        <v>4</v>
      </c>
      <c r="J39" s="11" t="s">
        <v>40</v>
      </c>
      <c r="K39" s="11" t="s">
        <v>47</v>
      </c>
      <c r="L39" s="11" t="s">
        <v>55</v>
      </c>
      <c r="M39" s="11" t="s">
        <v>75</v>
      </c>
      <c r="N39" s="11" t="s">
        <v>101</v>
      </c>
    </row>
    <row r="40" spans="1:14" ht="15" customHeight="1" x14ac:dyDescent="0.3">
      <c r="A40" s="11" t="s">
        <v>119</v>
      </c>
      <c r="B40" s="11">
        <v>46262</v>
      </c>
      <c r="C40" s="11" t="s">
        <v>45</v>
      </c>
      <c r="D40" s="11">
        <v>8</v>
      </c>
      <c r="E40" s="11">
        <v>8</v>
      </c>
      <c r="F40" s="11">
        <v>46237</v>
      </c>
      <c r="G40" s="11" t="s">
        <v>46</v>
      </c>
      <c r="H40" s="11">
        <v>250</v>
      </c>
      <c r="I40" s="11">
        <v>1</v>
      </c>
      <c r="J40" s="11" t="s">
        <v>48</v>
      </c>
      <c r="K40" s="11"/>
      <c r="L40" s="11" t="s">
        <v>55</v>
      </c>
      <c r="M40" s="11" t="s">
        <v>68</v>
      </c>
      <c r="N40" s="11" t="s">
        <v>94</v>
      </c>
    </row>
    <row r="41" spans="1:14" ht="15" customHeight="1" x14ac:dyDescent="0.3">
      <c r="A41" s="11" t="s">
        <v>120</v>
      </c>
      <c r="B41" s="11">
        <v>46258</v>
      </c>
      <c r="C41" s="11" t="s">
        <v>52</v>
      </c>
      <c r="D41" s="11">
        <v>3</v>
      </c>
      <c r="E41" s="11">
        <v>8</v>
      </c>
      <c r="F41" s="11">
        <v>46233</v>
      </c>
      <c r="G41" s="11" t="s">
        <v>93</v>
      </c>
      <c r="H41" s="11">
        <v>323</v>
      </c>
      <c r="I41" s="11">
        <v>4</v>
      </c>
      <c r="J41" s="11" t="s">
        <v>40</v>
      </c>
      <c r="K41" s="11" t="s">
        <v>121</v>
      </c>
      <c r="L41" s="11" t="s">
        <v>55</v>
      </c>
      <c r="M41" s="11" t="s">
        <v>82</v>
      </c>
      <c r="N41" s="11" t="s">
        <v>94</v>
      </c>
    </row>
    <row r="42" spans="1:14" ht="15" customHeight="1" x14ac:dyDescent="0.3">
      <c r="A42" s="11" t="s">
        <v>122</v>
      </c>
      <c r="B42" s="11">
        <v>46262</v>
      </c>
      <c r="C42" s="11" t="s">
        <v>45</v>
      </c>
      <c r="D42" s="11">
        <v>4</v>
      </c>
      <c r="E42" s="11">
        <v>6</v>
      </c>
      <c r="F42" s="11">
        <v>46250</v>
      </c>
      <c r="G42" s="11" t="s">
        <v>72</v>
      </c>
      <c r="H42" s="11">
        <v>212</v>
      </c>
      <c r="I42" s="11">
        <v>1</v>
      </c>
      <c r="J42" s="11" t="s">
        <v>40</v>
      </c>
      <c r="K42" s="11" t="s">
        <v>79</v>
      </c>
      <c r="L42" s="11" t="s">
        <v>55</v>
      </c>
      <c r="M42" s="11" t="s">
        <v>68</v>
      </c>
      <c r="N42" s="11" t="s">
        <v>89</v>
      </c>
    </row>
    <row r="43" spans="1:14" ht="15" customHeight="1" x14ac:dyDescent="0.3">
      <c r="A43" s="11" t="s">
        <v>123</v>
      </c>
      <c r="B43" s="11">
        <v>46259</v>
      </c>
      <c r="C43" s="11" t="s">
        <v>45</v>
      </c>
      <c r="D43" s="11">
        <v>5</v>
      </c>
      <c r="E43" s="11">
        <v>8</v>
      </c>
      <c r="F43" s="11">
        <v>46252</v>
      </c>
      <c r="G43" s="11" t="s">
        <v>53</v>
      </c>
      <c r="H43" s="11">
        <v>379</v>
      </c>
      <c r="I43" s="11">
        <v>4</v>
      </c>
      <c r="J43" s="11" t="s">
        <v>40</v>
      </c>
      <c r="K43" s="11" t="s">
        <v>79</v>
      </c>
      <c r="L43" s="11" t="s">
        <v>55</v>
      </c>
      <c r="M43" s="11" t="s">
        <v>75</v>
      </c>
      <c r="N43" s="11" t="s">
        <v>94</v>
      </c>
    </row>
    <row r="44" spans="1:14" ht="15" customHeight="1" x14ac:dyDescent="0.3">
      <c r="A44" s="11" t="s">
        <v>124</v>
      </c>
      <c r="B44" s="11">
        <v>46262</v>
      </c>
      <c r="C44" s="11" t="s">
        <v>45</v>
      </c>
      <c r="D44" s="11">
        <v>2</v>
      </c>
      <c r="E44" s="11">
        <v>5</v>
      </c>
      <c r="F44" s="11">
        <v>46258</v>
      </c>
      <c r="G44" s="11" t="s">
        <v>63</v>
      </c>
      <c r="H44" s="11">
        <v>368</v>
      </c>
      <c r="I44" s="11">
        <v>5</v>
      </c>
      <c r="J44" s="11" t="s">
        <v>40</v>
      </c>
      <c r="K44" s="11" t="s">
        <v>47</v>
      </c>
      <c r="L44" s="11" t="s">
        <v>55</v>
      </c>
      <c r="M44" s="11" t="s">
        <v>68</v>
      </c>
      <c r="N44" s="11" t="s">
        <v>50</v>
      </c>
    </row>
    <row r="45" spans="1:14" ht="15" customHeight="1" x14ac:dyDescent="0.3">
      <c r="A45" s="11" t="s">
        <v>125</v>
      </c>
      <c r="B45" s="11">
        <v>46262</v>
      </c>
      <c r="C45" s="11" t="s">
        <v>52</v>
      </c>
      <c r="D45" s="11">
        <v>7</v>
      </c>
      <c r="E45" s="11">
        <v>5</v>
      </c>
      <c r="F45" s="11">
        <v>46262</v>
      </c>
      <c r="G45" s="11" t="s">
        <v>72</v>
      </c>
      <c r="H45" s="11">
        <v>399</v>
      </c>
      <c r="I45" s="11">
        <v>4</v>
      </c>
      <c r="J45" s="11" t="s">
        <v>48</v>
      </c>
      <c r="K45" s="11"/>
      <c r="L45" s="11" t="s">
        <v>40</v>
      </c>
      <c r="M45" s="11" t="s">
        <v>68</v>
      </c>
      <c r="N45" s="11" t="s">
        <v>101</v>
      </c>
    </row>
    <row r="46" spans="1:14" ht="15" customHeight="1" x14ac:dyDescent="0.3">
      <c r="A46" s="11" t="s">
        <v>126</v>
      </c>
      <c r="B46" s="11">
        <v>46262</v>
      </c>
      <c r="C46" s="11" t="s">
        <v>52</v>
      </c>
      <c r="D46" s="11">
        <v>1</v>
      </c>
      <c r="E46" s="11">
        <v>4</v>
      </c>
      <c r="F46" s="11">
        <v>46242</v>
      </c>
      <c r="G46" s="11" t="s">
        <v>85</v>
      </c>
      <c r="H46" s="11">
        <v>229</v>
      </c>
      <c r="I46" s="11">
        <v>3</v>
      </c>
      <c r="J46" s="11" t="s">
        <v>40</v>
      </c>
      <c r="K46" s="11" t="s">
        <v>117</v>
      </c>
      <c r="L46" s="11" t="s">
        <v>55</v>
      </c>
      <c r="M46" s="11" t="s">
        <v>68</v>
      </c>
      <c r="N46" s="11" t="s">
        <v>43</v>
      </c>
    </row>
    <row r="47" spans="1:14" ht="15" customHeight="1" x14ac:dyDescent="0.3">
      <c r="A47" s="11" t="s">
        <v>127</v>
      </c>
      <c r="B47" s="11">
        <v>46259</v>
      </c>
      <c r="C47" s="11" t="s">
        <v>38</v>
      </c>
      <c r="D47" s="11">
        <v>6</v>
      </c>
      <c r="E47" s="11">
        <v>5</v>
      </c>
      <c r="F47" s="11">
        <v>46237</v>
      </c>
      <c r="G47" s="11" t="s">
        <v>67</v>
      </c>
      <c r="H47" s="11">
        <v>317</v>
      </c>
      <c r="I47" s="11">
        <v>3</v>
      </c>
      <c r="J47" s="11" t="s">
        <v>48</v>
      </c>
      <c r="K47" s="11"/>
      <c r="L47" s="11" t="s">
        <v>40</v>
      </c>
      <c r="M47" s="11" t="s">
        <v>49</v>
      </c>
      <c r="N47" s="11" t="s">
        <v>70</v>
      </c>
    </row>
    <row r="48" spans="1:14" ht="15" customHeight="1" x14ac:dyDescent="0.3">
      <c r="A48" s="11" t="s">
        <v>128</v>
      </c>
      <c r="B48" s="11">
        <v>46263</v>
      </c>
      <c r="C48" s="11" t="s">
        <v>38</v>
      </c>
      <c r="D48" s="11">
        <v>1</v>
      </c>
      <c r="E48" s="11">
        <v>4</v>
      </c>
      <c r="F48" s="11">
        <v>46214</v>
      </c>
      <c r="G48" s="11" t="s">
        <v>72</v>
      </c>
      <c r="H48" s="11">
        <v>291</v>
      </c>
      <c r="I48" s="11">
        <v>2</v>
      </c>
      <c r="J48" s="11" t="s">
        <v>40</v>
      </c>
      <c r="K48" s="11" t="s">
        <v>129</v>
      </c>
      <c r="L48" s="11" t="s">
        <v>40</v>
      </c>
      <c r="M48" s="11" t="s">
        <v>75</v>
      </c>
      <c r="N48" s="11" t="s">
        <v>43</v>
      </c>
    </row>
    <row r="49" spans="1:14" ht="15" customHeight="1" x14ac:dyDescent="0.3">
      <c r="A49" s="11" t="s">
        <v>130</v>
      </c>
      <c r="B49" s="11">
        <v>46262</v>
      </c>
      <c r="C49" s="11" t="s">
        <v>66</v>
      </c>
      <c r="D49" s="11">
        <v>1</v>
      </c>
      <c r="E49" s="11">
        <v>4</v>
      </c>
      <c r="F49" s="11">
        <v>46241</v>
      </c>
      <c r="G49" s="11" t="s">
        <v>63</v>
      </c>
      <c r="H49" s="11">
        <v>291</v>
      </c>
      <c r="I49" s="11">
        <v>1</v>
      </c>
      <c r="J49" s="11" t="s">
        <v>40</v>
      </c>
      <c r="K49" s="11" t="s">
        <v>88</v>
      </c>
      <c r="L49" s="11" t="s">
        <v>48</v>
      </c>
      <c r="M49" s="11" t="s">
        <v>77</v>
      </c>
      <c r="N49" s="11" t="s">
        <v>50</v>
      </c>
    </row>
    <row r="50" spans="1:14" ht="15" customHeight="1" x14ac:dyDescent="0.3">
      <c r="A50" s="11" t="s">
        <v>131</v>
      </c>
      <c r="B50" s="11">
        <v>46262</v>
      </c>
      <c r="C50" s="11" t="s">
        <v>62</v>
      </c>
      <c r="D50" s="11">
        <v>7</v>
      </c>
      <c r="E50" s="11">
        <v>8</v>
      </c>
      <c r="F50" s="11">
        <v>46244</v>
      </c>
      <c r="G50" s="11" t="s">
        <v>39</v>
      </c>
      <c r="H50" s="11">
        <v>260</v>
      </c>
      <c r="I50" s="11">
        <v>4</v>
      </c>
      <c r="J50" s="11" t="s">
        <v>40</v>
      </c>
      <c r="K50" s="11" t="s">
        <v>41</v>
      </c>
      <c r="L50" s="11" t="s">
        <v>40</v>
      </c>
      <c r="M50" s="11" t="s">
        <v>77</v>
      </c>
      <c r="N50" s="11" t="s">
        <v>70</v>
      </c>
    </row>
    <row r="51" spans="1:14" ht="15" customHeight="1" x14ac:dyDescent="0.3">
      <c r="A51" s="11" t="s">
        <v>132</v>
      </c>
      <c r="B51" s="11">
        <v>46259</v>
      </c>
      <c r="C51" s="11" t="s">
        <v>38</v>
      </c>
      <c r="D51" s="11">
        <v>5</v>
      </c>
      <c r="E51" s="11">
        <v>5</v>
      </c>
      <c r="F51" s="11">
        <v>46241</v>
      </c>
      <c r="G51" s="11" t="s">
        <v>93</v>
      </c>
      <c r="H51" s="11">
        <v>255</v>
      </c>
      <c r="I51" s="11">
        <v>4</v>
      </c>
      <c r="J51" s="11" t="s">
        <v>48</v>
      </c>
      <c r="K51" s="11"/>
      <c r="L51" s="11" t="s">
        <v>40</v>
      </c>
      <c r="M51" s="11" t="s">
        <v>82</v>
      </c>
      <c r="N51" s="11" t="s">
        <v>57</v>
      </c>
    </row>
    <row r="52" spans="1:14" ht="15" customHeight="1" x14ac:dyDescent="0.3">
      <c r="A52" s="11" t="s">
        <v>133</v>
      </c>
      <c r="B52" s="11">
        <v>46262</v>
      </c>
      <c r="C52" s="11" t="s">
        <v>66</v>
      </c>
      <c r="D52" s="11">
        <v>4</v>
      </c>
      <c r="E52" s="11">
        <v>4</v>
      </c>
      <c r="F52" s="11">
        <v>46246</v>
      </c>
      <c r="G52" s="11" t="s">
        <v>46</v>
      </c>
      <c r="H52" s="11">
        <v>393</v>
      </c>
      <c r="I52" s="11">
        <v>1</v>
      </c>
      <c r="J52" s="11" t="s">
        <v>48</v>
      </c>
      <c r="K52" s="11"/>
      <c r="L52" s="11" t="s">
        <v>55</v>
      </c>
      <c r="M52" s="11" t="s">
        <v>42</v>
      </c>
      <c r="N52" s="11" t="s">
        <v>57</v>
      </c>
    </row>
    <row r="53" spans="1:14" ht="15" customHeight="1" x14ac:dyDescent="0.3">
      <c r="A53" s="11" t="s">
        <v>134</v>
      </c>
      <c r="B53" s="11">
        <v>46262</v>
      </c>
      <c r="C53" s="11" t="s">
        <v>38</v>
      </c>
      <c r="D53" s="11">
        <v>7</v>
      </c>
      <c r="E53" s="11">
        <v>6</v>
      </c>
      <c r="F53" s="11">
        <v>46257</v>
      </c>
      <c r="G53" s="11" t="s">
        <v>93</v>
      </c>
      <c r="H53" s="11">
        <v>310</v>
      </c>
      <c r="I53" s="11">
        <v>4</v>
      </c>
      <c r="J53" s="11" t="s">
        <v>48</v>
      </c>
      <c r="K53" s="11"/>
      <c r="L53" s="11" t="s">
        <v>48</v>
      </c>
      <c r="M53" s="11" t="s">
        <v>42</v>
      </c>
      <c r="N53" s="11" t="s">
        <v>43</v>
      </c>
    </row>
    <row r="54" spans="1:14" ht="15" customHeight="1" x14ac:dyDescent="0.3">
      <c r="A54" s="11" t="s">
        <v>135</v>
      </c>
      <c r="B54" s="11">
        <v>46259</v>
      </c>
      <c r="C54" s="11" t="s">
        <v>59</v>
      </c>
      <c r="D54" s="11">
        <v>1</v>
      </c>
      <c r="E54" s="11">
        <v>4</v>
      </c>
      <c r="F54" s="11">
        <v>46227</v>
      </c>
      <c r="G54" s="11" t="s">
        <v>87</v>
      </c>
      <c r="H54" s="11">
        <v>372</v>
      </c>
      <c r="I54" s="11">
        <v>2</v>
      </c>
      <c r="J54" s="11" t="s">
        <v>40</v>
      </c>
      <c r="K54" s="11" t="s">
        <v>136</v>
      </c>
      <c r="L54" s="11" t="s">
        <v>40</v>
      </c>
      <c r="M54" s="11" t="s">
        <v>49</v>
      </c>
      <c r="N54" s="11" t="s">
        <v>50</v>
      </c>
    </row>
    <row r="55" spans="1:14" ht="15" customHeight="1" x14ac:dyDescent="0.3">
      <c r="A55" s="11" t="s">
        <v>137</v>
      </c>
      <c r="B55" s="11">
        <v>46263</v>
      </c>
      <c r="C55" s="11" t="s">
        <v>66</v>
      </c>
      <c r="D55" s="11">
        <v>4</v>
      </c>
      <c r="E55" s="11">
        <v>4</v>
      </c>
      <c r="F55" s="11">
        <v>46244</v>
      </c>
      <c r="G55" s="11" t="s">
        <v>39</v>
      </c>
      <c r="H55" s="11">
        <v>397</v>
      </c>
      <c r="I55" s="11">
        <v>4</v>
      </c>
      <c r="J55" s="11" t="s">
        <v>48</v>
      </c>
      <c r="K55" s="11"/>
      <c r="L55" s="11" t="s">
        <v>55</v>
      </c>
      <c r="M55" s="11" t="s">
        <v>82</v>
      </c>
      <c r="N55" s="11" t="s">
        <v>50</v>
      </c>
    </row>
    <row r="56" spans="1:14" ht="15" customHeight="1" x14ac:dyDescent="0.3">
      <c r="A56" s="11" t="s">
        <v>138</v>
      </c>
      <c r="B56" s="11">
        <v>46259</v>
      </c>
      <c r="C56" s="11" t="s">
        <v>45</v>
      </c>
      <c r="D56" s="11">
        <v>2</v>
      </c>
      <c r="E56" s="11">
        <v>4</v>
      </c>
      <c r="F56" s="11">
        <v>46243</v>
      </c>
      <c r="G56" s="11" t="s">
        <v>85</v>
      </c>
      <c r="H56" s="11">
        <v>356</v>
      </c>
      <c r="I56" s="11">
        <v>1</v>
      </c>
      <c r="J56" s="11" t="s">
        <v>40</v>
      </c>
      <c r="K56" s="11" t="s">
        <v>88</v>
      </c>
      <c r="L56" s="11" t="s">
        <v>40</v>
      </c>
      <c r="M56" s="11" t="s">
        <v>68</v>
      </c>
      <c r="N56" s="11" t="s">
        <v>57</v>
      </c>
    </row>
    <row r="57" spans="1:14" ht="15" customHeight="1" x14ac:dyDescent="0.3">
      <c r="A57" s="11" t="s">
        <v>139</v>
      </c>
      <c r="B57" s="11">
        <v>46263</v>
      </c>
      <c r="C57" s="11" t="s">
        <v>62</v>
      </c>
      <c r="D57" s="11">
        <v>3</v>
      </c>
      <c r="E57" s="11">
        <v>6</v>
      </c>
      <c r="F57" s="11">
        <v>46246</v>
      </c>
      <c r="G57" s="11" t="s">
        <v>85</v>
      </c>
      <c r="H57" s="11">
        <v>243</v>
      </c>
      <c r="I57" s="11">
        <v>5</v>
      </c>
      <c r="J57" s="11" t="s">
        <v>40</v>
      </c>
      <c r="K57" s="11" t="s">
        <v>117</v>
      </c>
      <c r="L57" s="11" t="s">
        <v>40</v>
      </c>
      <c r="M57" s="11" t="s">
        <v>82</v>
      </c>
      <c r="N57" s="11" t="s">
        <v>94</v>
      </c>
    </row>
    <row r="58" spans="1:14" ht="15" customHeight="1" x14ac:dyDescent="0.3">
      <c r="A58" s="11" t="s">
        <v>140</v>
      </c>
      <c r="B58" s="11">
        <v>46263</v>
      </c>
      <c r="C58" s="11" t="s">
        <v>45</v>
      </c>
      <c r="D58" s="11">
        <v>6</v>
      </c>
      <c r="E58" s="11">
        <v>6</v>
      </c>
      <c r="F58" s="11">
        <v>46253</v>
      </c>
      <c r="G58" s="11" t="s">
        <v>46</v>
      </c>
      <c r="H58" s="11">
        <v>373</v>
      </c>
      <c r="I58" s="11">
        <v>5</v>
      </c>
      <c r="J58" s="11" t="s">
        <v>48</v>
      </c>
      <c r="K58" s="11"/>
      <c r="L58" s="11" t="s">
        <v>48</v>
      </c>
      <c r="M58" s="11" t="s">
        <v>68</v>
      </c>
      <c r="N58" s="11" t="s">
        <v>57</v>
      </c>
    </row>
    <row r="59" spans="1:14" ht="15" customHeight="1" x14ac:dyDescent="0.3">
      <c r="A59" s="11" t="s">
        <v>141</v>
      </c>
      <c r="B59" s="11">
        <v>46259</v>
      </c>
      <c r="C59" s="11" t="s">
        <v>52</v>
      </c>
      <c r="D59" s="11">
        <v>5</v>
      </c>
      <c r="E59" s="11">
        <v>6</v>
      </c>
      <c r="F59" s="11">
        <v>46239</v>
      </c>
      <c r="G59" s="11" t="s">
        <v>46</v>
      </c>
      <c r="H59" s="11">
        <v>243</v>
      </c>
      <c r="I59" s="11">
        <v>4</v>
      </c>
      <c r="J59" s="11" t="s">
        <v>40</v>
      </c>
      <c r="K59" s="11" t="s">
        <v>142</v>
      </c>
      <c r="L59" s="11" t="s">
        <v>55</v>
      </c>
      <c r="M59" s="11" t="s">
        <v>68</v>
      </c>
      <c r="N59" s="11" t="s">
        <v>101</v>
      </c>
    </row>
    <row r="60" spans="1:14" ht="15" customHeight="1" x14ac:dyDescent="0.3">
      <c r="A60" s="11" t="s">
        <v>143</v>
      </c>
      <c r="B60" s="11">
        <v>46259</v>
      </c>
      <c r="C60" s="11" t="s">
        <v>45</v>
      </c>
      <c r="D60" s="11">
        <v>1</v>
      </c>
      <c r="E60" s="11">
        <v>8</v>
      </c>
      <c r="F60" s="11">
        <v>46229</v>
      </c>
      <c r="G60" s="11" t="s">
        <v>72</v>
      </c>
      <c r="H60" s="11">
        <v>240</v>
      </c>
      <c r="I60" s="11">
        <v>1</v>
      </c>
      <c r="J60" s="11" t="s">
        <v>40</v>
      </c>
      <c r="K60" s="11" t="s">
        <v>144</v>
      </c>
      <c r="L60" s="11" t="s">
        <v>40</v>
      </c>
      <c r="M60" s="11" t="s">
        <v>42</v>
      </c>
      <c r="N60" s="11" t="s">
        <v>43</v>
      </c>
    </row>
    <row r="61" spans="1:14" ht="15" customHeight="1" x14ac:dyDescent="0.3">
      <c r="A61" s="11" t="s">
        <v>145</v>
      </c>
      <c r="B61" s="11">
        <v>46263</v>
      </c>
      <c r="C61" s="11" t="s">
        <v>66</v>
      </c>
      <c r="D61" s="11">
        <v>6</v>
      </c>
      <c r="E61" s="11">
        <v>5</v>
      </c>
      <c r="F61" s="11">
        <v>46259</v>
      </c>
      <c r="G61" s="11" t="s">
        <v>87</v>
      </c>
      <c r="H61" s="11">
        <v>360</v>
      </c>
      <c r="I61" s="11">
        <v>3</v>
      </c>
      <c r="J61" s="11" t="s">
        <v>48</v>
      </c>
      <c r="K61" s="11"/>
      <c r="L61" s="11" t="s">
        <v>55</v>
      </c>
      <c r="M61" s="11" t="s">
        <v>82</v>
      </c>
      <c r="N61" s="11" t="s">
        <v>60</v>
      </c>
    </row>
    <row r="62" spans="1:14" ht="15" customHeight="1" x14ac:dyDescent="0.3">
      <c r="A62" s="11" t="s">
        <v>146</v>
      </c>
      <c r="B62" s="11">
        <v>46263</v>
      </c>
      <c r="C62" s="11" t="s">
        <v>66</v>
      </c>
      <c r="D62" s="11">
        <v>6</v>
      </c>
      <c r="E62" s="11">
        <v>4</v>
      </c>
      <c r="F62" s="11">
        <v>46250</v>
      </c>
      <c r="G62" s="11" t="s">
        <v>87</v>
      </c>
      <c r="H62" s="11">
        <v>279</v>
      </c>
      <c r="I62" s="11">
        <v>5</v>
      </c>
      <c r="J62" s="11" t="s">
        <v>48</v>
      </c>
      <c r="K62" s="11"/>
      <c r="L62" s="11" t="s">
        <v>48</v>
      </c>
      <c r="M62" s="11" t="s">
        <v>77</v>
      </c>
      <c r="N62" s="11" t="s">
        <v>89</v>
      </c>
    </row>
    <row r="63" spans="1:14" ht="15" customHeight="1" x14ac:dyDescent="0.3">
      <c r="A63" s="11" t="s">
        <v>147</v>
      </c>
      <c r="B63" s="11">
        <v>46263</v>
      </c>
      <c r="C63" s="11" t="s">
        <v>45</v>
      </c>
      <c r="D63" s="11">
        <v>4</v>
      </c>
      <c r="E63" s="11">
        <v>5</v>
      </c>
      <c r="F63" s="11">
        <v>46239</v>
      </c>
      <c r="G63" s="11" t="s">
        <v>67</v>
      </c>
      <c r="H63" s="11">
        <v>279</v>
      </c>
      <c r="I63" s="11">
        <v>5</v>
      </c>
      <c r="J63" s="11" t="s">
        <v>40</v>
      </c>
      <c r="K63" s="11" t="s">
        <v>79</v>
      </c>
      <c r="L63" s="11" t="s">
        <v>55</v>
      </c>
      <c r="M63" s="11" t="s">
        <v>75</v>
      </c>
      <c r="N63" s="11" t="s">
        <v>50</v>
      </c>
    </row>
    <row r="64" spans="1:14" ht="15" customHeight="1" x14ac:dyDescent="0.3">
      <c r="A64" s="11" t="s">
        <v>148</v>
      </c>
      <c r="B64" s="11">
        <v>46259</v>
      </c>
      <c r="C64" s="11" t="s">
        <v>66</v>
      </c>
      <c r="D64" s="11">
        <v>5</v>
      </c>
      <c r="E64" s="11">
        <v>5</v>
      </c>
      <c r="F64" s="11">
        <v>46263</v>
      </c>
      <c r="G64" s="11" t="s">
        <v>53</v>
      </c>
      <c r="H64" s="11">
        <v>279</v>
      </c>
      <c r="I64" s="11">
        <v>3</v>
      </c>
      <c r="J64" s="11" t="s">
        <v>48</v>
      </c>
      <c r="K64" s="11"/>
      <c r="L64" s="11" t="s">
        <v>48</v>
      </c>
      <c r="M64" s="11" t="s">
        <v>68</v>
      </c>
      <c r="N64" s="11" t="s">
        <v>57</v>
      </c>
    </row>
    <row r="65" spans="1:14" ht="15" customHeight="1" x14ac:dyDescent="0.3">
      <c r="A65" s="11" t="s">
        <v>149</v>
      </c>
      <c r="B65" s="11">
        <v>46258</v>
      </c>
      <c r="C65" s="11" t="s">
        <v>62</v>
      </c>
      <c r="D65" s="11">
        <v>2</v>
      </c>
      <c r="E65" s="11">
        <v>3</v>
      </c>
      <c r="F65" s="11">
        <v>46225</v>
      </c>
      <c r="G65" s="11" t="s">
        <v>39</v>
      </c>
      <c r="H65" s="11">
        <v>430</v>
      </c>
      <c r="I65" s="11">
        <v>3</v>
      </c>
      <c r="J65" s="11" t="s">
        <v>40</v>
      </c>
      <c r="K65" s="11" t="s">
        <v>64</v>
      </c>
      <c r="L65" s="11" t="s">
        <v>48</v>
      </c>
      <c r="M65" s="11" t="s">
        <v>56</v>
      </c>
      <c r="N65" s="11" t="s">
        <v>89</v>
      </c>
    </row>
    <row r="66" spans="1:14" ht="15" customHeight="1" x14ac:dyDescent="0.3">
      <c r="A66" s="11" t="s">
        <v>150</v>
      </c>
      <c r="B66" s="11">
        <v>46263</v>
      </c>
      <c r="C66" s="11" t="s">
        <v>52</v>
      </c>
      <c r="D66" s="11">
        <v>5</v>
      </c>
      <c r="E66" s="11">
        <v>3</v>
      </c>
      <c r="F66" s="11">
        <v>46249</v>
      </c>
      <c r="G66" s="11" t="s">
        <v>96</v>
      </c>
      <c r="H66" s="11">
        <v>226</v>
      </c>
      <c r="I66" s="11">
        <v>2</v>
      </c>
      <c r="J66" s="11" t="s">
        <v>48</v>
      </c>
      <c r="K66" s="11"/>
      <c r="L66" s="11" t="s">
        <v>55</v>
      </c>
      <c r="M66" s="11" t="s">
        <v>56</v>
      </c>
      <c r="N66" s="11" t="s">
        <v>50</v>
      </c>
    </row>
    <row r="67" spans="1:14" ht="15" customHeight="1" x14ac:dyDescent="0.3">
      <c r="A67" s="11" t="s">
        <v>151</v>
      </c>
      <c r="B67" s="11">
        <v>46258</v>
      </c>
      <c r="C67" s="11" t="s">
        <v>52</v>
      </c>
      <c r="D67" s="11">
        <v>3</v>
      </c>
      <c r="E67" s="11">
        <v>9</v>
      </c>
      <c r="F67" s="11">
        <v>46219</v>
      </c>
      <c r="G67" s="11" t="s">
        <v>72</v>
      </c>
      <c r="H67" s="11">
        <v>392</v>
      </c>
      <c r="I67" s="11">
        <v>2</v>
      </c>
      <c r="J67" s="11" t="s">
        <v>40</v>
      </c>
      <c r="K67" s="11" t="s">
        <v>152</v>
      </c>
      <c r="L67" s="11" t="s">
        <v>40</v>
      </c>
      <c r="M67" s="11" t="s">
        <v>82</v>
      </c>
      <c r="N67" s="11" t="s">
        <v>89</v>
      </c>
    </row>
    <row r="68" spans="1:14" ht="15" customHeight="1" x14ac:dyDescent="0.3">
      <c r="A68" s="11" t="s">
        <v>153</v>
      </c>
      <c r="B68" s="11">
        <v>46258</v>
      </c>
      <c r="C68" s="11" t="s">
        <v>38</v>
      </c>
      <c r="D68" s="11">
        <v>5</v>
      </c>
      <c r="E68" s="11">
        <v>8</v>
      </c>
      <c r="F68" s="11">
        <v>46239</v>
      </c>
      <c r="G68" s="11" t="s">
        <v>53</v>
      </c>
      <c r="H68" s="11">
        <v>346</v>
      </c>
      <c r="I68" s="11">
        <v>1</v>
      </c>
      <c r="J68" s="11" t="s">
        <v>40</v>
      </c>
      <c r="K68" s="11" t="s">
        <v>142</v>
      </c>
      <c r="L68" s="11" t="s">
        <v>40</v>
      </c>
      <c r="M68" s="11" t="s">
        <v>42</v>
      </c>
      <c r="N68" s="11" t="s">
        <v>50</v>
      </c>
    </row>
    <row r="69" spans="1:14" ht="15" customHeight="1" x14ac:dyDescent="0.3">
      <c r="A69" s="11" t="s">
        <v>154</v>
      </c>
      <c r="B69" s="11">
        <v>46262</v>
      </c>
      <c r="C69" s="11" t="s">
        <v>45</v>
      </c>
      <c r="D69" s="11">
        <v>2</v>
      </c>
      <c r="E69" s="11">
        <v>4</v>
      </c>
      <c r="F69" s="11">
        <v>46248</v>
      </c>
      <c r="G69" s="11" t="s">
        <v>93</v>
      </c>
      <c r="H69" s="11">
        <v>351</v>
      </c>
      <c r="I69" s="11">
        <v>2</v>
      </c>
      <c r="J69" s="11" t="s">
        <v>40</v>
      </c>
      <c r="K69" s="11" t="s">
        <v>41</v>
      </c>
      <c r="L69" s="11" t="s">
        <v>40</v>
      </c>
      <c r="M69" s="11" t="s">
        <v>82</v>
      </c>
      <c r="N69" s="11" t="s">
        <v>70</v>
      </c>
    </row>
    <row r="70" spans="1:14" ht="15" customHeight="1" x14ac:dyDescent="0.3">
      <c r="A70" s="11" t="s">
        <v>155</v>
      </c>
      <c r="B70" s="11">
        <v>46258</v>
      </c>
      <c r="C70" s="11" t="s">
        <v>52</v>
      </c>
      <c r="D70" s="11">
        <v>8</v>
      </c>
      <c r="E70" s="11">
        <v>7</v>
      </c>
      <c r="F70" s="11">
        <v>46241</v>
      </c>
      <c r="G70" s="11" t="s">
        <v>93</v>
      </c>
      <c r="H70" s="11">
        <v>209</v>
      </c>
      <c r="I70" s="11">
        <v>4</v>
      </c>
      <c r="J70" s="11" t="s">
        <v>48</v>
      </c>
      <c r="K70" s="11"/>
      <c r="L70" s="11" t="s">
        <v>40</v>
      </c>
      <c r="M70" s="11" t="s">
        <v>56</v>
      </c>
      <c r="N70" s="11" t="s">
        <v>43</v>
      </c>
    </row>
    <row r="71" spans="1:14" ht="15" customHeight="1" x14ac:dyDescent="0.3">
      <c r="A71" s="11" t="s">
        <v>156</v>
      </c>
      <c r="B71" s="11">
        <v>46258</v>
      </c>
      <c r="C71" s="11" t="s">
        <v>62</v>
      </c>
      <c r="D71" s="11">
        <v>8</v>
      </c>
      <c r="E71" s="11">
        <v>8</v>
      </c>
      <c r="F71" s="11">
        <v>46251</v>
      </c>
      <c r="G71" s="11" t="s">
        <v>67</v>
      </c>
      <c r="H71" s="11">
        <v>363</v>
      </c>
      <c r="I71" s="11">
        <v>2</v>
      </c>
      <c r="J71" s="11" t="s">
        <v>48</v>
      </c>
      <c r="K71" s="11"/>
      <c r="L71" s="11" t="s">
        <v>48</v>
      </c>
      <c r="M71" s="11" t="s">
        <v>77</v>
      </c>
      <c r="N71" s="11" t="s">
        <v>50</v>
      </c>
    </row>
    <row r="72" spans="1:14" ht="15" customHeight="1" x14ac:dyDescent="0.3">
      <c r="A72" s="11" t="s">
        <v>157</v>
      </c>
      <c r="B72" s="11">
        <v>46262</v>
      </c>
      <c r="C72" s="11" t="s">
        <v>38</v>
      </c>
      <c r="D72" s="11">
        <v>8</v>
      </c>
      <c r="E72" s="11">
        <v>8</v>
      </c>
      <c r="F72" s="11">
        <v>46238</v>
      </c>
      <c r="G72" s="11" t="s">
        <v>39</v>
      </c>
      <c r="H72" s="11">
        <v>210</v>
      </c>
      <c r="I72" s="11">
        <v>4</v>
      </c>
      <c r="J72" s="11" t="s">
        <v>48</v>
      </c>
      <c r="K72" s="11"/>
      <c r="L72" s="11" t="s">
        <v>48</v>
      </c>
      <c r="M72" s="11" t="s">
        <v>68</v>
      </c>
      <c r="N72" s="11" t="s">
        <v>89</v>
      </c>
    </row>
    <row r="73" spans="1:14" ht="15" customHeight="1" x14ac:dyDescent="0.3">
      <c r="A73" s="11" t="s">
        <v>158</v>
      </c>
      <c r="B73" s="11">
        <v>46263</v>
      </c>
      <c r="C73" s="11" t="s">
        <v>59</v>
      </c>
      <c r="D73" s="11">
        <v>7</v>
      </c>
      <c r="E73" s="11">
        <v>8</v>
      </c>
      <c r="F73" s="11">
        <v>46261</v>
      </c>
      <c r="G73" s="11" t="s">
        <v>39</v>
      </c>
      <c r="H73" s="11">
        <v>309</v>
      </c>
      <c r="I73" s="11">
        <v>4</v>
      </c>
      <c r="J73" s="11" t="s">
        <v>40</v>
      </c>
      <c r="K73" s="11" t="s">
        <v>117</v>
      </c>
      <c r="L73" s="11" t="s">
        <v>40</v>
      </c>
      <c r="M73" s="11" t="s">
        <v>68</v>
      </c>
      <c r="N73" s="11" t="s">
        <v>57</v>
      </c>
    </row>
    <row r="74" spans="1:14" ht="15" customHeight="1" x14ac:dyDescent="0.3">
      <c r="A74" s="11" t="s">
        <v>159</v>
      </c>
      <c r="B74" s="11">
        <v>46263</v>
      </c>
      <c r="C74" s="11" t="s">
        <v>66</v>
      </c>
      <c r="D74" s="11">
        <v>2</v>
      </c>
      <c r="E74" s="11">
        <v>6</v>
      </c>
      <c r="F74" s="11">
        <v>46212</v>
      </c>
      <c r="G74" s="11" t="s">
        <v>39</v>
      </c>
      <c r="H74" s="11">
        <v>297</v>
      </c>
      <c r="I74" s="11">
        <v>3</v>
      </c>
      <c r="J74" s="11" t="s">
        <v>40</v>
      </c>
      <c r="K74" s="11" t="s">
        <v>160</v>
      </c>
      <c r="L74" s="11" t="s">
        <v>40</v>
      </c>
      <c r="M74" s="11" t="s">
        <v>56</v>
      </c>
      <c r="N74" s="11" t="s">
        <v>70</v>
      </c>
    </row>
    <row r="75" spans="1:14" ht="15" customHeight="1" x14ac:dyDescent="0.3">
      <c r="A75" s="11" t="s">
        <v>161</v>
      </c>
      <c r="B75" s="11">
        <v>46259</v>
      </c>
      <c r="C75" s="11" t="s">
        <v>66</v>
      </c>
      <c r="D75" s="11">
        <v>9</v>
      </c>
      <c r="E75" s="11">
        <v>9</v>
      </c>
      <c r="F75" s="11">
        <v>46255</v>
      </c>
      <c r="G75" s="11" t="s">
        <v>93</v>
      </c>
      <c r="H75" s="11">
        <v>262</v>
      </c>
      <c r="I75" s="11">
        <v>5</v>
      </c>
      <c r="J75" s="11" t="s">
        <v>48</v>
      </c>
      <c r="K75" s="11"/>
      <c r="L75" s="11" t="s">
        <v>40</v>
      </c>
      <c r="M75" s="11" t="s">
        <v>56</v>
      </c>
      <c r="N75" s="11" t="s">
        <v>101</v>
      </c>
    </row>
    <row r="76" spans="1:14" ht="15" customHeight="1" x14ac:dyDescent="0.3">
      <c r="A76" s="11" t="s">
        <v>162</v>
      </c>
      <c r="B76" s="11">
        <v>46259</v>
      </c>
      <c r="C76" s="11" t="s">
        <v>52</v>
      </c>
      <c r="D76" s="11">
        <v>8</v>
      </c>
      <c r="E76" s="11">
        <v>7</v>
      </c>
      <c r="F76" s="11">
        <v>46251</v>
      </c>
      <c r="G76" s="11" t="s">
        <v>67</v>
      </c>
      <c r="H76" s="11">
        <v>266</v>
      </c>
      <c r="I76" s="11">
        <v>1</v>
      </c>
      <c r="J76" s="11" t="s">
        <v>48</v>
      </c>
      <c r="K76" s="11"/>
      <c r="L76" s="11" t="s">
        <v>55</v>
      </c>
      <c r="M76" s="11" t="s">
        <v>42</v>
      </c>
      <c r="N76" s="11" t="s">
        <v>101</v>
      </c>
    </row>
    <row r="77" spans="1:14" ht="15" customHeight="1" x14ac:dyDescent="0.3">
      <c r="A77" s="11" t="s">
        <v>163</v>
      </c>
      <c r="B77" s="11">
        <v>46258</v>
      </c>
      <c r="C77" s="11" t="s">
        <v>45</v>
      </c>
      <c r="D77" s="11">
        <v>4</v>
      </c>
      <c r="E77" s="11">
        <v>5</v>
      </c>
      <c r="F77" s="11">
        <v>46244</v>
      </c>
      <c r="G77" s="11" t="s">
        <v>39</v>
      </c>
      <c r="H77" s="11">
        <v>359</v>
      </c>
      <c r="I77" s="11">
        <v>5</v>
      </c>
      <c r="J77" s="11" t="s">
        <v>40</v>
      </c>
      <c r="K77" s="11" t="s">
        <v>41</v>
      </c>
      <c r="L77" s="11" t="s">
        <v>48</v>
      </c>
      <c r="M77" s="11" t="s">
        <v>49</v>
      </c>
      <c r="N77" s="11" t="s">
        <v>50</v>
      </c>
    </row>
    <row r="78" spans="1:14" ht="15" customHeight="1" x14ac:dyDescent="0.3">
      <c r="A78" s="11" t="s">
        <v>164</v>
      </c>
      <c r="B78" s="11">
        <v>46263</v>
      </c>
      <c r="C78" s="11" t="s">
        <v>59</v>
      </c>
      <c r="D78" s="11">
        <v>6</v>
      </c>
      <c r="E78" s="11">
        <v>6</v>
      </c>
      <c r="F78" s="11">
        <v>46239</v>
      </c>
      <c r="G78" s="11" t="s">
        <v>63</v>
      </c>
      <c r="H78" s="11">
        <v>241</v>
      </c>
      <c r="I78" s="11">
        <v>4</v>
      </c>
      <c r="J78" s="11" t="s">
        <v>48</v>
      </c>
      <c r="K78" s="11"/>
      <c r="L78" s="11" t="s">
        <v>48</v>
      </c>
      <c r="M78" s="11" t="s">
        <v>77</v>
      </c>
      <c r="N78" s="11" t="s">
        <v>101</v>
      </c>
    </row>
    <row r="79" spans="1:14" ht="15" customHeight="1" x14ac:dyDescent="0.3">
      <c r="A79" s="11" t="s">
        <v>165</v>
      </c>
      <c r="B79" s="11">
        <v>46263</v>
      </c>
      <c r="C79" s="11" t="s">
        <v>38</v>
      </c>
      <c r="D79" s="11">
        <v>2</v>
      </c>
      <c r="E79" s="11">
        <v>4</v>
      </c>
      <c r="F79" s="11">
        <v>46251</v>
      </c>
      <c r="G79" s="11" t="s">
        <v>85</v>
      </c>
      <c r="H79" s="11">
        <v>357</v>
      </c>
      <c r="I79" s="11">
        <v>3</v>
      </c>
      <c r="J79" s="11" t="s">
        <v>40</v>
      </c>
      <c r="K79" s="11" t="s">
        <v>142</v>
      </c>
      <c r="L79" s="11" t="s">
        <v>48</v>
      </c>
      <c r="M79" s="11" t="s">
        <v>75</v>
      </c>
      <c r="N79" s="11" t="s">
        <v>60</v>
      </c>
    </row>
    <row r="80" spans="1:14" ht="15" customHeight="1" x14ac:dyDescent="0.3">
      <c r="A80" s="11" t="s">
        <v>166</v>
      </c>
      <c r="B80" s="11">
        <v>46262</v>
      </c>
      <c r="C80" s="11" t="s">
        <v>52</v>
      </c>
      <c r="D80" s="11">
        <v>5</v>
      </c>
      <c r="E80" s="11">
        <v>5</v>
      </c>
      <c r="F80" s="11">
        <v>46240</v>
      </c>
      <c r="G80" s="11" t="s">
        <v>72</v>
      </c>
      <c r="H80" s="11">
        <v>320</v>
      </c>
      <c r="I80" s="11">
        <v>3</v>
      </c>
      <c r="J80" s="11" t="s">
        <v>48</v>
      </c>
      <c r="K80" s="11"/>
      <c r="L80" s="11" t="s">
        <v>48</v>
      </c>
      <c r="M80" s="11" t="s">
        <v>82</v>
      </c>
      <c r="N80" s="11" t="s">
        <v>70</v>
      </c>
    </row>
    <row r="81" spans="1:14" ht="15" customHeight="1" x14ac:dyDescent="0.3">
      <c r="A81" s="11" t="s">
        <v>167</v>
      </c>
      <c r="B81" s="11">
        <v>46259</v>
      </c>
      <c r="C81" s="11" t="s">
        <v>45</v>
      </c>
      <c r="D81" s="11">
        <v>2</v>
      </c>
      <c r="E81" s="11">
        <v>5</v>
      </c>
      <c r="F81" s="11">
        <v>46214</v>
      </c>
      <c r="G81" s="11" t="s">
        <v>46</v>
      </c>
      <c r="H81" s="11">
        <v>260</v>
      </c>
      <c r="I81" s="11">
        <v>4</v>
      </c>
      <c r="J81" s="11" t="s">
        <v>40</v>
      </c>
      <c r="K81" s="11" t="s">
        <v>168</v>
      </c>
      <c r="L81" s="11" t="s">
        <v>40</v>
      </c>
      <c r="M81" s="11" t="s">
        <v>49</v>
      </c>
      <c r="N81" s="11" t="s">
        <v>94</v>
      </c>
    </row>
    <row r="82" spans="1:14" ht="15" customHeight="1" x14ac:dyDescent="0.3">
      <c r="A82" s="11" t="s">
        <v>169</v>
      </c>
      <c r="B82" s="11">
        <v>46262</v>
      </c>
      <c r="C82" s="11" t="s">
        <v>45</v>
      </c>
      <c r="D82" s="11">
        <v>5</v>
      </c>
      <c r="E82" s="11">
        <v>4</v>
      </c>
      <c r="F82" s="11">
        <v>46245</v>
      </c>
      <c r="G82" s="11" t="s">
        <v>96</v>
      </c>
      <c r="H82" s="11">
        <v>374</v>
      </c>
      <c r="I82" s="11">
        <v>4</v>
      </c>
      <c r="J82" s="11" t="s">
        <v>48</v>
      </c>
      <c r="K82" s="11"/>
      <c r="L82" s="11" t="s">
        <v>55</v>
      </c>
      <c r="M82" s="11" t="s">
        <v>49</v>
      </c>
      <c r="N82" s="11" t="s">
        <v>50</v>
      </c>
    </row>
    <row r="83" spans="1:14" ht="15" customHeight="1" x14ac:dyDescent="0.3">
      <c r="A83" s="11" t="s">
        <v>170</v>
      </c>
      <c r="B83" s="11">
        <v>46262</v>
      </c>
      <c r="C83" s="11" t="s">
        <v>62</v>
      </c>
      <c r="D83" s="11">
        <v>2</v>
      </c>
      <c r="E83" s="11">
        <v>3</v>
      </c>
      <c r="F83" s="11">
        <v>46263</v>
      </c>
      <c r="G83" s="11" t="s">
        <v>53</v>
      </c>
      <c r="H83" s="11">
        <v>361</v>
      </c>
      <c r="I83" s="11">
        <v>4</v>
      </c>
      <c r="J83" s="11" t="s">
        <v>40</v>
      </c>
      <c r="K83" s="11" t="s">
        <v>117</v>
      </c>
      <c r="L83" s="11" t="s">
        <v>55</v>
      </c>
      <c r="M83" s="11" t="s">
        <v>49</v>
      </c>
      <c r="N83" s="11" t="s">
        <v>89</v>
      </c>
    </row>
    <row r="84" spans="1:14" ht="15" customHeight="1" x14ac:dyDescent="0.3">
      <c r="A84" s="11" t="s">
        <v>171</v>
      </c>
      <c r="B84" s="11">
        <v>46263</v>
      </c>
      <c r="C84" s="11" t="s">
        <v>66</v>
      </c>
      <c r="D84" s="11">
        <v>10</v>
      </c>
      <c r="E84" s="11">
        <v>8</v>
      </c>
      <c r="F84" s="11">
        <v>46239</v>
      </c>
      <c r="G84" s="11" t="s">
        <v>46</v>
      </c>
      <c r="H84" s="11">
        <v>305</v>
      </c>
      <c r="I84" s="11">
        <v>2</v>
      </c>
      <c r="J84" s="11" t="s">
        <v>48</v>
      </c>
      <c r="K84" s="11"/>
      <c r="L84" s="11" t="s">
        <v>40</v>
      </c>
      <c r="M84" s="11" t="s">
        <v>75</v>
      </c>
      <c r="N84" s="11" t="s">
        <v>70</v>
      </c>
    </row>
  </sheetData>
  <autoFilter ref="A4:N84" xr:uid="{00000000-0009-0000-0000-000001000000}"/>
  <mergeCells count="2">
    <mergeCell ref="A2:N2"/>
    <mergeCell ref="A1:N1"/>
  </mergeCells>
  <conditionalFormatting sqref="I5:I84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3">
    <dataValidation type="whole" sqref="I5:I84" xr:uid="{00000000-0002-0000-0100-000000000000}">
      <formula1>1</formula1>
      <formula2>5</formula2>
    </dataValidation>
    <dataValidation type="list" sqref="J5:J84" xr:uid="{00000000-0002-0000-0100-000001000000}">
      <formula1>"Yes,No"</formula1>
      <formula2>0</formula2>
    </dataValidation>
    <dataValidation type="list" sqref="L5:L84" xr:uid="{00000000-0002-0000-0100-000002000000}">
      <formula1>"Yes,Maybe,No"</formula1>
      <formula2>0</formula2>
    </dataValidation>
  </dataValidations>
  <pageMargins left="0.25" right="0.25" top="0.5" bottom="0.5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0"/>
  <sheetViews>
    <sheetView showGridLines="0" zoomScaleNormal="100" workbookViewId="0">
      <pane ySplit="4" topLeftCell="A5" activePane="bottomLeft" state="frozen"/>
      <selection pane="bottomLeft" activeCell="A87" sqref="A87:B87"/>
    </sheetView>
  </sheetViews>
  <sheetFormatPr defaultColWidth="8.6640625" defaultRowHeight="15" customHeight="1" x14ac:dyDescent="0.3"/>
  <cols>
    <col min="1" max="1" width="12" customWidth="1"/>
    <col min="2" max="2" width="16" customWidth="1"/>
    <col min="3" max="3" width="14" customWidth="1"/>
    <col min="4" max="4" width="10" customWidth="1"/>
    <col min="5" max="5" width="18" customWidth="1"/>
    <col min="6" max="6" width="10" customWidth="1"/>
    <col min="7" max="7" width="20" customWidth="1"/>
    <col min="8" max="8" width="10" customWidth="1"/>
    <col min="9" max="9" width="12" customWidth="1"/>
    <col min="10" max="11" width="10" customWidth="1"/>
    <col min="12" max="12" width="28" customWidth="1"/>
  </cols>
  <sheetData>
    <row r="1" spans="1:12" ht="27.75" customHeight="1" x14ac:dyDescent="0.3">
      <c r="A1" s="26" t="s">
        <v>172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 customHeight="1" x14ac:dyDescent="0.3">
      <c r="A2" s="9" t="s">
        <v>173</v>
      </c>
      <c r="B2" s="9">
        <v>46265</v>
      </c>
      <c r="C2" s="9"/>
      <c r="D2" s="12" t="s">
        <v>174</v>
      </c>
      <c r="E2" s="9"/>
      <c r="F2" s="9"/>
      <c r="G2" s="9"/>
      <c r="H2" s="9"/>
      <c r="I2" s="9"/>
      <c r="J2" s="9"/>
      <c r="K2" s="9"/>
      <c r="L2" s="9"/>
    </row>
    <row r="3" spans="1:12" ht="15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7.75" customHeight="1" x14ac:dyDescent="0.3">
      <c r="A4" s="13" t="s">
        <v>23</v>
      </c>
      <c r="B4" s="13" t="s">
        <v>28</v>
      </c>
      <c r="C4" s="13" t="s">
        <v>175</v>
      </c>
      <c r="D4" s="13" t="s">
        <v>176</v>
      </c>
      <c r="E4" s="13" t="s">
        <v>26</v>
      </c>
      <c r="F4" s="13" t="s">
        <v>177</v>
      </c>
      <c r="G4" s="13" t="s">
        <v>178</v>
      </c>
      <c r="H4" s="13" t="s">
        <v>179</v>
      </c>
      <c r="I4" s="13" t="s">
        <v>180</v>
      </c>
      <c r="J4" s="13" t="s">
        <v>181</v>
      </c>
      <c r="K4" s="13" t="s">
        <v>182</v>
      </c>
      <c r="L4" s="13" t="s">
        <v>183</v>
      </c>
    </row>
    <row r="5" spans="1:12" ht="15" customHeight="1" x14ac:dyDescent="0.3">
      <c r="A5" s="14" t="str">
        <f>'Customer Response Tracker'!A5</f>
        <v>M001</v>
      </c>
      <c r="B5" s="14">
        <f>'Customer Response Tracker'!F5</f>
        <v>46263</v>
      </c>
      <c r="C5" s="14">
        <f t="shared" ref="C5:C36" si="0">$B$2-B5</f>
        <v>2</v>
      </c>
      <c r="D5" s="14">
        <f t="shared" ref="D5:D36" si="1">IF(C5&lt;=7,5,IF(C5&lt;=15,4,IF(C5&lt;=30,3,IF(C5&lt;=45,2,1))))</f>
        <v>5</v>
      </c>
      <c r="E5" s="14">
        <f>'Customer Response Tracker'!D5</f>
        <v>5</v>
      </c>
      <c r="F5" s="14">
        <f t="shared" ref="F5:F36" si="2">5-INT((RANK(E5,$E$5:$E$84,0)-1)/16)</f>
        <v>4</v>
      </c>
      <c r="G5" s="14">
        <f>'Customer Response Tracker'!H5</f>
        <v>369</v>
      </c>
      <c r="H5" s="14">
        <f t="shared" ref="H5:H36" si="3">5-INT((RANK(G5,$G$5:$G$84,0)-1)/16)</f>
        <v>4</v>
      </c>
      <c r="I5" s="14">
        <f t="shared" ref="I5:I36" si="4">D5+F5+H5</f>
        <v>13</v>
      </c>
      <c r="J5" s="14">
        <f t="shared" ref="J5:J36" si="5">RANK(E5,$E$5:$E$84,0)</f>
        <v>27</v>
      </c>
      <c r="K5" s="14">
        <f t="shared" ref="K5:K36" si="6">RANK(G5,$G$5:$G$84,0)</f>
        <v>19</v>
      </c>
      <c r="L5" s="14" t="str">
        <f>'Customer Segmentation'!F5</f>
        <v>Champions / Highly Loyal</v>
      </c>
    </row>
    <row r="6" spans="1:12" ht="15" customHeight="1" x14ac:dyDescent="0.3">
      <c r="A6" s="14" t="str">
        <f>'Customer Response Tracker'!A6</f>
        <v>M002</v>
      </c>
      <c r="B6" s="14">
        <f>'Customer Response Tracker'!F6</f>
        <v>46261</v>
      </c>
      <c r="C6" s="14">
        <f t="shared" si="0"/>
        <v>4</v>
      </c>
      <c r="D6" s="14">
        <f t="shared" si="1"/>
        <v>5</v>
      </c>
      <c r="E6" s="14">
        <f>'Customer Response Tracker'!D6</f>
        <v>1</v>
      </c>
      <c r="F6" s="14">
        <f t="shared" si="2"/>
        <v>1</v>
      </c>
      <c r="G6" s="14">
        <f>'Customer Response Tracker'!H6</f>
        <v>235</v>
      </c>
      <c r="H6" s="14">
        <f t="shared" si="3"/>
        <v>1</v>
      </c>
      <c r="I6" s="14">
        <f t="shared" si="4"/>
        <v>7</v>
      </c>
      <c r="J6" s="14">
        <f t="shared" si="5"/>
        <v>70</v>
      </c>
      <c r="K6" s="14">
        <f t="shared" si="6"/>
        <v>67</v>
      </c>
      <c r="L6" s="14" t="str">
        <f>'Customer Segmentation'!F6</f>
        <v>Potential Loyalists</v>
      </c>
    </row>
    <row r="7" spans="1:12" ht="15" customHeight="1" x14ac:dyDescent="0.3">
      <c r="A7" s="14" t="str">
        <f>'Customer Response Tracker'!A7</f>
        <v>M003</v>
      </c>
      <c r="B7" s="14">
        <f>'Customer Response Tracker'!F7</f>
        <v>46233</v>
      </c>
      <c r="C7" s="14">
        <f t="shared" si="0"/>
        <v>32</v>
      </c>
      <c r="D7" s="14">
        <f t="shared" si="1"/>
        <v>2</v>
      </c>
      <c r="E7" s="14">
        <f>'Customer Response Tracker'!D7</f>
        <v>1</v>
      </c>
      <c r="F7" s="14">
        <f t="shared" si="2"/>
        <v>1</v>
      </c>
      <c r="G7" s="14">
        <f>'Customer Response Tracker'!H7</f>
        <v>402</v>
      </c>
      <c r="H7" s="14">
        <f t="shared" si="3"/>
        <v>5</v>
      </c>
      <c r="I7" s="14">
        <f t="shared" si="4"/>
        <v>8</v>
      </c>
      <c r="J7" s="14">
        <f t="shared" si="5"/>
        <v>70</v>
      </c>
      <c r="K7" s="14">
        <f t="shared" si="6"/>
        <v>5</v>
      </c>
      <c r="L7" s="14" t="str">
        <f>'Customer Segmentation'!F7</f>
        <v>At-Risk Customers</v>
      </c>
    </row>
    <row r="8" spans="1:12" ht="15" customHeight="1" x14ac:dyDescent="0.3">
      <c r="A8" s="14" t="str">
        <f>'Customer Response Tracker'!A8</f>
        <v>M004</v>
      </c>
      <c r="B8" s="14">
        <f>'Customer Response Tracker'!F8</f>
        <v>46253</v>
      </c>
      <c r="C8" s="14">
        <f t="shared" si="0"/>
        <v>12</v>
      </c>
      <c r="D8" s="14">
        <f t="shared" si="1"/>
        <v>4</v>
      </c>
      <c r="E8" s="14">
        <f>'Customer Response Tracker'!D8</f>
        <v>6</v>
      </c>
      <c r="F8" s="14">
        <f t="shared" si="2"/>
        <v>4</v>
      </c>
      <c r="G8" s="14">
        <f>'Customer Response Tracker'!H8</f>
        <v>206</v>
      </c>
      <c r="H8" s="14">
        <f t="shared" si="3"/>
        <v>1</v>
      </c>
      <c r="I8" s="14">
        <f t="shared" si="4"/>
        <v>9</v>
      </c>
      <c r="J8" s="14">
        <f t="shared" si="5"/>
        <v>18</v>
      </c>
      <c r="K8" s="14">
        <f t="shared" si="6"/>
        <v>79</v>
      </c>
      <c r="L8" s="14" t="str">
        <f>'Customer Segmentation'!F8</f>
        <v>Potential Loyalists</v>
      </c>
    </row>
    <row r="9" spans="1:12" ht="15" customHeight="1" x14ac:dyDescent="0.3">
      <c r="A9" s="14" t="str">
        <f>'Customer Response Tracker'!A9</f>
        <v>M005</v>
      </c>
      <c r="B9" s="14">
        <f>'Customer Response Tracker'!F9</f>
        <v>46221</v>
      </c>
      <c r="C9" s="14">
        <f t="shared" si="0"/>
        <v>44</v>
      </c>
      <c r="D9" s="14">
        <f t="shared" si="1"/>
        <v>2</v>
      </c>
      <c r="E9" s="14">
        <f>'Customer Response Tracker'!D9</f>
        <v>2</v>
      </c>
      <c r="F9" s="14">
        <f t="shared" si="2"/>
        <v>2</v>
      </c>
      <c r="G9" s="14">
        <f>'Customer Response Tracker'!H9</f>
        <v>430</v>
      </c>
      <c r="H9" s="14">
        <f t="shared" si="3"/>
        <v>5</v>
      </c>
      <c r="I9" s="14">
        <f t="shared" si="4"/>
        <v>9</v>
      </c>
      <c r="J9" s="14">
        <f t="shared" si="5"/>
        <v>57</v>
      </c>
      <c r="K9" s="14">
        <f t="shared" si="6"/>
        <v>1</v>
      </c>
      <c r="L9" s="14" t="str">
        <f>'Customer Segmentation'!F9</f>
        <v>At-Risk Customers</v>
      </c>
    </row>
    <row r="10" spans="1:12" ht="15" customHeight="1" x14ac:dyDescent="0.3">
      <c r="A10" s="14" t="str">
        <f>'Customer Response Tracker'!A10</f>
        <v>M006</v>
      </c>
      <c r="B10" s="14">
        <f>'Customer Response Tracker'!F10</f>
        <v>46256</v>
      </c>
      <c r="C10" s="14">
        <f t="shared" si="0"/>
        <v>9</v>
      </c>
      <c r="D10" s="14">
        <f t="shared" si="1"/>
        <v>4</v>
      </c>
      <c r="E10" s="14">
        <f>'Customer Response Tracker'!D10</f>
        <v>3</v>
      </c>
      <c r="F10" s="14">
        <f t="shared" si="2"/>
        <v>3</v>
      </c>
      <c r="G10" s="14">
        <f>'Customer Response Tracker'!H10</f>
        <v>377</v>
      </c>
      <c r="H10" s="14">
        <f t="shared" si="3"/>
        <v>5</v>
      </c>
      <c r="I10" s="14">
        <f t="shared" si="4"/>
        <v>12</v>
      </c>
      <c r="J10" s="14">
        <f t="shared" si="5"/>
        <v>46</v>
      </c>
      <c r="K10" s="14">
        <f t="shared" si="6"/>
        <v>13</v>
      </c>
      <c r="L10" s="14" t="str">
        <f>'Customer Segmentation'!F10</f>
        <v>Loyal Customers</v>
      </c>
    </row>
    <row r="11" spans="1:12" ht="15" customHeight="1" x14ac:dyDescent="0.3">
      <c r="A11" s="14" t="str">
        <f>'Customer Response Tracker'!A11</f>
        <v>M007</v>
      </c>
      <c r="B11" s="14">
        <f>'Customer Response Tracker'!F11</f>
        <v>46237</v>
      </c>
      <c r="C11" s="14">
        <f t="shared" si="0"/>
        <v>28</v>
      </c>
      <c r="D11" s="14">
        <f t="shared" si="1"/>
        <v>3</v>
      </c>
      <c r="E11" s="14">
        <f>'Customer Response Tracker'!D11</f>
        <v>7</v>
      </c>
      <c r="F11" s="14">
        <f t="shared" si="2"/>
        <v>5</v>
      </c>
      <c r="G11" s="14">
        <f>'Customer Response Tracker'!H11</f>
        <v>273</v>
      </c>
      <c r="H11" s="14">
        <f t="shared" si="3"/>
        <v>2</v>
      </c>
      <c r="I11" s="14">
        <f t="shared" si="4"/>
        <v>10</v>
      </c>
      <c r="J11" s="14">
        <f t="shared" si="5"/>
        <v>11</v>
      </c>
      <c r="K11" s="14">
        <f t="shared" si="6"/>
        <v>51</v>
      </c>
      <c r="L11" s="14" t="str">
        <f>'Customer Segmentation'!F11</f>
        <v>Inactive / Low Engagement</v>
      </c>
    </row>
    <row r="12" spans="1:12" ht="15" customHeight="1" x14ac:dyDescent="0.3">
      <c r="A12" s="14" t="str">
        <f>'Customer Response Tracker'!A12</f>
        <v>M008</v>
      </c>
      <c r="B12" s="14">
        <f>'Customer Response Tracker'!F12</f>
        <v>46232</v>
      </c>
      <c r="C12" s="14">
        <f t="shared" si="0"/>
        <v>33</v>
      </c>
      <c r="D12" s="14">
        <f t="shared" si="1"/>
        <v>2</v>
      </c>
      <c r="E12" s="14">
        <f>'Customer Response Tracker'!D12</f>
        <v>1</v>
      </c>
      <c r="F12" s="14">
        <f t="shared" si="2"/>
        <v>1</v>
      </c>
      <c r="G12" s="14">
        <f>'Customer Response Tracker'!H12</f>
        <v>221</v>
      </c>
      <c r="H12" s="14">
        <f t="shared" si="3"/>
        <v>1</v>
      </c>
      <c r="I12" s="14">
        <f t="shared" si="4"/>
        <v>4</v>
      </c>
      <c r="J12" s="14">
        <f t="shared" si="5"/>
        <v>70</v>
      </c>
      <c r="K12" s="14">
        <f t="shared" si="6"/>
        <v>71</v>
      </c>
      <c r="L12" s="14" t="str">
        <f>'Customer Segmentation'!F12</f>
        <v>At-Risk Customers</v>
      </c>
    </row>
    <row r="13" spans="1:12" ht="15" customHeight="1" x14ac:dyDescent="0.3">
      <c r="A13" s="14" t="str">
        <f>'Customer Response Tracker'!A13</f>
        <v>M009</v>
      </c>
      <c r="B13" s="14">
        <f>'Customer Response Tracker'!F13</f>
        <v>46253</v>
      </c>
      <c r="C13" s="14">
        <f t="shared" si="0"/>
        <v>12</v>
      </c>
      <c r="D13" s="14">
        <f t="shared" si="1"/>
        <v>4</v>
      </c>
      <c r="E13" s="14">
        <f>'Customer Response Tracker'!D13</f>
        <v>4</v>
      </c>
      <c r="F13" s="14">
        <f t="shared" si="2"/>
        <v>3</v>
      </c>
      <c r="G13" s="14">
        <f>'Customer Response Tracker'!H13</f>
        <v>282</v>
      </c>
      <c r="H13" s="14">
        <f t="shared" si="3"/>
        <v>3</v>
      </c>
      <c r="I13" s="14">
        <f t="shared" si="4"/>
        <v>10</v>
      </c>
      <c r="J13" s="14">
        <f t="shared" si="5"/>
        <v>39</v>
      </c>
      <c r="K13" s="14">
        <f t="shared" si="6"/>
        <v>45</v>
      </c>
      <c r="L13" s="14" t="str">
        <f>'Customer Segmentation'!F13</f>
        <v>Loyal Customers</v>
      </c>
    </row>
    <row r="14" spans="1:12" ht="15" customHeight="1" x14ac:dyDescent="0.3">
      <c r="A14" s="14" t="str">
        <f>'Customer Response Tracker'!A14</f>
        <v>M010</v>
      </c>
      <c r="B14" s="14">
        <f>'Customer Response Tracker'!F14</f>
        <v>46249</v>
      </c>
      <c r="C14" s="14">
        <f t="shared" si="0"/>
        <v>16</v>
      </c>
      <c r="D14" s="14">
        <f t="shared" si="1"/>
        <v>3</v>
      </c>
      <c r="E14" s="14">
        <f>'Customer Response Tracker'!D14</f>
        <v>6</v>
      </c>
      <c r="F14" s="14">
        <f t="shared" si="2"/>
        <v>4</v>
      </c>
      <c r="G14" s="14">
        <f>'Customer Response Tracker'!H14</f>
        <v>216</v>
      </c>
      <c r="H14" s="14">
        <f t="shared" si="3"/>
        <v>1</v>
      </c>
      <c r="I14" s="14">
        <f t="shared" si="4"/>
        <v>8</v>
      </c>
      <c r="J14" s="14">
        <f t="shared" si="5"/>
        <v>18</v>
      </c>
      <c r="K14" s="14">
        <f t="shared" si="6"/>
        <v>73</v>
      </c>
      <c r="L14" s="14" t="str">
        <f>'Customer Segmentation'!F14</f>
        <v>Inactive / Low Engagement</v>
      </c>
    </row>
    <row r="15" spans="1:12" ht="15" customHeight="1" x14ac:dyDescent="0.3">
      <c r="A15" s="14" t="str">
        <f>'Customer Response Tracker'!A15</f>
        <v>M011</v>
      </c>
      <c r="B15" s="14">
        <f>'Customer Response Tracker'!F15</f>
        <v>46259</v>
      </c>
      <c r="C15" s="14">
        <f t="shared" si="0"/>
        <v>6</v>
      </c>
      <c r="D15" s="14">
        <f t="shared" si="1"/>
        <v>5</v>
      </c>
      <c r="E15" s="14">
        <f>'Customer Response Tracker'!D15</f>
        <v>3</v>
      </c>
      <c r="F15" s="14">
        <f t="shared" si="2"/>
        <v>3</v>
      </c>
      <c r="G15" s="14">
        <f>'Customer Response Tracker'!H15</f>
        <v>310</v>
      </c>
      <c r="H15" s="14">
        <f t="shared" si="3"/>
        <v>3</v>
      </c>
      <c r="I15" s="14">
        <f t="shared" si="4"/>
        <v>11</v>
      </c>
      <c r="J15" s="14">
        <f t="shared" si="5"/>
        <v>46</v>
      </c>
      <c r="K15" s="14">
        <f t="shared" si="6"/>
        <v>37</v>
      </c>
      <c r="L15" s="14" t="str">
        <f>'Customer Segmentation'!F15</f>
        <v>Loyal Customers</v>
      </c>
    </row>
    <row r="16" spans="1:12" ht="15" customHeight="1" x14ac:dyDescent="0.3">
      <c r="A16" s="14" t="str">
        <f>'Customer Response Tracker'!A16</f>
        <v>M012</v>
      </c>
      <c r="B16" s="14">
        <f>'Customer Response Tracker'!F16</f>
        <v>46230</v>
      </c>
      <c r="C16" s="14">
        <f t="shared" si="0"/>
        <v>35</v>
      </c>
      <c r="D16" s="14">
        <f t="shared" si="1"/>
        <v>2</v>
      </c>
      <c r="E16" s="14">
        <f>'Customer Response Tracker'!D16</f>
        <v>1</v>
      </c>
      <c r="F16" s="14">
        <f t="shared" si="2"/>
        <v>1</v>
      </c>
      <c r="G16" s="14">
        <f>'Customer Response Tracker'!H16</f>
        <v>196</v>
      </c>
      <c r="H16" s="14">
        <f t="shared" si="3"/>
        <v>1</v>
      </c>
      <c r="I16" s="14">
        <f t="shared" si="4"/>
        <v>4</v>
      </c>
      <c r="J16" s="14">
        <f t="shared" si="5"/>
        <v>70</v>
      </c>
      <c r="K16" s="14">
        <f t="shared" si="6"/>
        <v>80</v>
      </c>
      <c r="L16" s="14" t="str">
        <f>'Customer Segmentation'!F16</f>
        <v>At-Risk Customers</v>
      </c>
    </row>
    <row r="17" spans="1:12" ht="15" customHeight="1" x14ac:dyDescent="0.3">
      <c r="A17" s="14" t="str">
        <f>'Customer Response Tracker'!A17</f>
        <v>M013</v>
      </c>
      <c r="B17" s="14">
        <f>'Customer Response Tracker'!F17</f>
        <v>46239</v>
      </c>
      <c r="C17" s="14">
        <f t="shared" si="0"/>
        <v>26</v>
      </c>
      <c r="D17" s="14">
        <f t="shared" si="1"/>
        <v>3</v>
      </c>
      <c r="E17" s="14">
        <f>'Customer Response Tracker'!D17</f>
        <v>8</v>
      </c>
      <c r="F17" s="14">
        <f t="shared" si="2"/>
        <v>5</v>
      </c>
      <c r="G17" s="14">
        <f>'Customer Response Tracker'!H17</f>
        <v>248</v>
      </c>
      <c r="H17" s="14">
        <f t="shared" si="3"/>
        <v>2</v>
      </c>
      <c r="I17" s="14">
        <f t="shared" si="4"/>
        <v>10</v>
      </c>
      <c r="J17" s="14">
        <f t="shared" si="5"/>
        <v>4</v>
      </c>
      <c r="K17" s="14">
        <f t="shared" si="6"/>
        <v>61</v>
      </c>
      <c r="L17" s="14" t="str">
        <f>'Customer Segmentation'!F17</f>
        <v>Inactive / Low Engagement</v>
      </c>
    </row>
    <row r="18" spans="1:12" ht="15" customHeight="1" x14ac:dyDescent="0.3">
      <c r="A18" s="14" t="str">
        <f>'Customer Response Tracker'!A18</f>
        <v>M014</v>
      </c>
      <c r="B18" s="14">
        <f>'Customer Response Tracker'!F18</f>
        <v>46240</v>
      </c>
      <c r="C18" s="14">
        <f t="shared" si="0"/>
        <v>25</v>
      </c>
      <c r="D18" s="14">
        <f t="shared" si="1"/>
        <v>3</v>
      </c>
      <c r="E18" s="14">
        <f>'Customer Response Tracker'!D18</f>
        <v>3</v>
      </c>
      <c r="F18" s="14">
        <f t="shared" si="2"/>
        <v>3</v>
      </c>
      <c r="G18" s="14">
        <f>'Customer Response Tracker'!H18</f>
        <v>247</v>
      </c>
      <c r="H18" s="14">
        <f t="shared" si="3"/>
        <v>2</v>
      </c>
      <c r="I18" s="14">
        <f t="shared" si="4"/>
        <v>8</v>
      </c>
      <c r="J18" s="14">
        <f t="shared" si="5"/>
        <v>46</v>
      </c>
      <c r="K18" s="14">
        <f t="shared" si="6"/>
        <v>62</v>
      </c>
      <c r="L18" s="14" t="str">
        <f>'Customer Segmentation'!F18</f>
        <v>Inactive / Low Engagement</v>
      </c>
    </row>
    <row r="19" spans="1:12" ht="15" customHeight="1" x14ac:dyDescent="0.3">
      <c r="A19" s="14" t="str">
        <f>'Customer Response Tracker'!A19</f>
        <v>M015</v>
      </c>
      <c r="B19" s="14">
        <f>'Customer Response Tracker'!F19</f>
        <v>46259</v>
      </c>
      <c r="C19" s="14">
        <f t="shared" si="0"/>
        <v>6</v>
      </c>
      <c r="D19" s="14">
        <f t="shared" si="1"/>
        <v>5</v>
      </c>
      <c r="E19" s="14">
        <f>'Customer Response Tracker'!D19</f>
        <v>5</v>
      </c>
      <c r="F19" s="14">
        <f t="shared" si="2"/>
        <v>4</v>
      </c>
      <c r="G19" s="14">
        <f>'Customer Response Tracker'!H19</f>
        <v>275</v>
      </c>
      <c r="H19" s="14">
        <f t="shared" si="3"/>
        <v>2</v>
      </c>
      <c r="I19" s="14">
        <f t="shared" si="4"/>
        <v>11</v>
      </c>
      <c r="J19" s="14">
        <f t="shared" si="5"/>
        <v>27</v>
      </c>
      <c r="K19" s="14">
        <f t="shared" si="6"/>
        <v>50</v>
      </c>
      <c r="L19" s="14" t="str">
        <f>'Customer Segmentation'!F19</f>
        <v>Potential Loyalists</v>
      </c>
    </row>
    <row r="20" spans="1:12" ht="15" customHeight="1" x14ac:dyDescent="0.3">
      <c r="A20" s="14" t="str">
        <f>'Customer Response Tracker'!A20</f>
        <v>M016</v>
      </c>
      <c r="B20" s="14">
        <f>'Customer Response Tracker'!F20</f>
        <v>46227</v>
      </c>
      <c r="C20" s="14">
        <f t="shared" si="0"/>
        <v>38</v>
      </c>
      <c r="D20" s="14">
        <f t="shared" si="1"/>
        <v>2</v>
      </c>
      <c r="E20" s="14">
        <f>'Customer Response Tracker'!D20</f>
        <v>1</v>
      </c>
      <c r="F20" s="14">
        <f t="shared" si="2"/>
        <v>1</v>
      </c>
      <c r="G20" s="14">
        <f>'Customer Response Tracker'!H20</f>
        <v>386</v>
      </c>
      <c r="H20" s="14">
        <f t="shared" si="3"/>
        <v>5</v>
      </c>
      <c r="I20" s="14">
        <f t="shared" si="4"/>
        <v>8</v>
      </c>
      <c r="J20" s="14">
        <f t="shared" si="5"/>
        <v>70</v>
      </c>
      <c r="K20" s="14">
        <f t="shared" si="6"/>
        <v>11</v>
      </c>
      <c r="L20" s="14" t="str">
        <f>'Customer Segmentation'!F20</f>
        <v>At-Risk Customers</v>
      </c>
    </row>
    <row r="21" spans="1:12" ht="15" customHeight="1" x14ac:dyDescent="0.3">
      <c r="A21" s="14" t="str">
        <f>'Customer Response Tracker'!A21</f>
        <v>M017</v>
      </c>
      <c r="B21" s="14">
        <f>'Customer Response Tracker'!F21</f>
        <v>46246</v>
      </c>
      <c r="C21" s="14">
        <f t="shared" si="0"/>
        <v>19</v>
      </c>
      <c r="D21" s="14">
        <f t="shared" si="1"/>
        <v>3</v>
      </c>
      <c r="E21" s="14">
        <f>'Customer Response Tracker'!D21</f>
        <v>5</v>
      </c>
      <c r="F21" s="14">
        <f t="shared" si="2"/>
        <v>4</v>
      </c>
      <c r="G21" s="14">
        <f>'Customer Response Tracker'!H21</f>
        <v>376</v>
      </c>
      <c r="H21" s="14">
        <f t="shared" si="3"/>
        <v>5</v>
      </c>
      <c r="I21" s="14">
        <f t="shared" si="4"/>
        <v>12</v>
      </c>
      <c r="J21" s="14">
        <f t="shared" si="5"/>
        <v>27</v>
      </c>
      <c r="K21" s="14">
        <f t="shared" si="6"/>
        <v>14</v>
      </c>
      <c r="L21" s="14" t="str">
        <f>'Customer Segmentation'!F21</f>
        <v>Loyal Customers</v>
      </c>
    </row>
    <row r="22" spans="1:12" ht="15" customHeight="1" x14ac:dyDescent="0.3">
      <c r="A22" s="14" t="str">
        <f>'Customer Response Tracker'!A22</f>
        <v>M018</v>
      </c>
      <c r="B22" s="14">
        <f>'Customer Response Tracker'!F22</f>
        <v>46246</v>
      </c>
      <c r="C22" s="14">
        <f t="shared" si="0"/>
        <v>19</v>
      </c>
      <c r="D22" s="14">
        <f t="shared" si="1"/>
        <v>3</v>
      </c>
      <c r="E22" s="14">
        <f>'Customer Response Tracker'!D22</f>
        <v>3</v>
      </c>
      <c r="F22" s="14">
        <f t="shared" si="2"/>
        <v>3</v>
      </c>
      <c r="G22" s="14">
        <f>'Customer Response Tracker'!H22</f>
        <v>373</v>
      </c>
      <c r="H22" s="14">
        <f t="shared" si="3"/>
        <v>5</v>
      </c>
      <c r="I22" s="14">
        <f t="shared" si="4"/>
        <v>11</v>
      </c>
      <c r="J22" s="14">
        <f t="shared" si="5"/>
        <v>46</v>
      </c>
      <c r="K22" s="14">
        <f t="shared" si="6"/>
        <v>16</v>
      </c>
      <c r="L22" s="14" t="str">
        <f>'Customer Segmentation'!F22</f>
        <v>Loyal Customers</v>
      </c>
    </row>
    <row r="23" spans="1:12" ht="15" customHeight="1" x14ac:dyDescent="0.3">
      <c r="A23" s="14" t="str">
        <f>'Customer Response Tracker'!A23</f>
        <v>M019</v>
      </c>
      <c r="B23" s="14">
        <f>'Customer Response Tracker'!F23</f>
        <v>46249</v>
      </c>
      <c r="C23" s="14">
        <f t="shared" si="0"/>
        <v>16</v>
      </c>
      <c r="D23" s="14">
        <f t="shared" si="1"/>
        <v>3</v>
      </c>
      <c r="E23" s="14">
        <f>'Customer Response Tracker'!D23</f>
        <v>6</v>
      </c>
      <c r="F23" s="14">
        <f t="shared" si="2"/>
        <v>4</v>
      </c>
      <c r="G23" s="14">
        <f>'Customer Response Tracker'!H23</f>
        <v>210</v>
      </c>
      <c r="H23" s="14">
        <f t="shared" si="3"/>
        <v>1</v>
      </c>
      <c r="I23" s="14">
        <f t="shared" si="4"/>
        <v>8</v>
      </c>
      <c r="J23" s="14">
        <f t="shared" si="5"/>
        <v>18</v>
      </c>
      <c r="K23" s="14">
        <f t="shared" si="6"/>
        <v>76</v>
      </c>
      <c r="L23" s="14" t="str">
        <f>'Customer Segmentation'!F23</f>
        <v>Inactive / Low Engagement</v>
      </c>
    </row>
    <row r="24" spans="1:12" ht="15" customHeight="1" x14ac:dyDescent="0.3">
      <c r="A24" s="14" t="str">
        <f>'Customer Response Tracker'!A24</f>
        <v>M020</v>
      </c>
      <c r="B24" s="14">
        <f>'Customer Response Tracker'!F24</f>
        <v>46215</v>
      </c>
      <c r="C24" s="14">
        <f t="shared" si="0"/>
        <v>50</v>
      </c>
      <c r="D24" s="14">
        <f t="shared" si="1"/>
        <v>1</v>
      </c>
      <c r="E24" s="14">
        <f>'Customer Response Tracker'!D24</f>
        <v>2</v>
      </c>
      <c r="F24" s="14">
        <f t="shared" si="2"/>
        <v>2</v>
      </c>
      <c r="G24" s="14">
        <f>'Customer Response Tracker'!H24</f>
        <v>341</v>
      </c>
      <c r="H24" s="14">
        <f t="shared" si="3"/>
        <v>4</v>
      </c>
      <c r="I24" s="14">
        <f t="shared" si="4"/>
        <v>7</v>
      </c>
      <c r="J24" s="14">
        <f t="shared" si="5"/>
        <v>57</v>
      </c>
      <c r="K24" s="14">
        <f t="shared" si="6"/>
        <v>31</v>
      </c>
      <c r="L24" s="14" t="str">
        <f>'Customer Segmentation'!F24</f>
        <v>At-Risk Customers</v>
      </c>
    </row>
    <row r="25" spans="1:12" ht="15" customHeight="1" x14ac:dyDescent="0.3">
      <c r="A25" s="14" t="str">
        <f>'Customer Response Tracker'!A25</f>
        <v>M021</v>
      </c>
      <c r="B25" s="14">
        <f>'Customer Response Tracker'!F25</f>
        <v>46248</v>
      </c>
      <c r="C25" s="14">
        <f t="shared" si="0"/>
        <v>17</v>
      </c>
      <c r="D25" s="14">
        <f t="shared" si="1"/>
        <v>3</v>
      </c>
      <c r="E25" s="14">
        <f>'Customer Response Tracker'!D25</f>
        <v>5</v>
      </c>
      <c r="F25" s="14">
        <f t="shared" si="2"/>
        <v>4</v>
      </c>
      <c r="G25" s="14">
        <f>'Customer Response Tracker'!H25</f>
        <v>234</v>
      </c>
      <c r="H25" s="14">
        <f t="shared" si="3"/>
        <v>1</v>
      </c>
      <c r="I25" s="14">
        <f t="shared" si="4"/>
        <v>8</v>
      </c>
      <c r="J25" s="14">
        <f t="shared" si="5"/>
        <v>27</v>
      </c>
      <c r="K25" s="14">
        <f t="shared" si="6"/>
        <v>68</v>
      </c>
      <c r="L25" s="14" t="str">
        <f>'Customer Segmentation'!F25</f>
        <v>Inactive / Low Engagement</v>
      </c>
    </row>
    <row r="26" spans="1:12" ht="15" customHeight="1" x14ac:dyDescent="0.3">
      <c r="A26" s="14" t="str">
        <f>'Customer Response Tracker'!A26</f>
        <v>M022</v>
      </c>
      <c r="B26" s="14">
        <f>'Customer Response Tracker'!F26</f>
        <v>46260</v>
      </c>
      <c r="C26" s="14">
        <f t="shared" si="0"/>
        <v>5</v>
      </c>
      <c r="D26" s="14">
        <f t="shared" si="1"/>
        <v>5</v>
      </c>
      <c r="E26" s="14">
        <f>'Customer Response Tracker'!D26</f>
        <v>1</v>
      </c>
      <c r="F26" s="14">
        <f t="shared" si="2"/>
        <v>1</v>
      </c>
      <c r="G26" s="14">
        <f>'Customer Response Tracker'!H26</f>
        <v>348</v>
      </c>
      <c r="H26" s="14">
        <f t="shared" si="3"/>
        <v>4</v>
      </c>
      <c r="I26" s="14">
        <f t="shared" si="4"/>
        <v>10</v>
      </c>
      <c r="J26" s="14">
        <f t="shared" si="5"/>
        <v>70</v>
      </c>
      <c r="K26" s="14">
        <f t="shared" si="6"/>
        <v>29</v>
      </c>
      <c r="L26" s="14" t="str">
        <f>'Customer Segmentation'!F26</f>
        <v>Potential Loyalists</v>
      </c>
    </row>
    <row r="27" spans="1:12" ht="15" customHeight="1" x14ac:dyDescent="0.3">
      <c r="A27" s="14" t="str">
        <f>'Customer Response Tracker'!A27</f>
        <v>M023</v>
      </c>
      <c r="B27" s="14">
        <f>'Customer Response Tracker'!F27</f>
        <v>46240</v>
      </c>
      <c r="C27" s="14">
        <f t="shared" si="0"/>
        <v>25</v>
      </c>
      <c r="D27" s="14">
        <f t="shared" si="1"/>
        <v>3</v>
      </c>
      <c r="E27" s="14">
        <f>'Customer Response Tracker'!D27</f>
        <v>2</v>
      </c>
      <c r="F27" s="14">
        <f t="shared" si="2"/>
        <v>2</v>
      </c>
      <c r="G27" s="14">
        <f>'Customer Response Tracker'!H27</f>
        <v>266</v>
      </c>
      <c r="H27" s="14">
        <f t="shared" si="3"/>
        <v>2</v>
      </c>
      <c r="I27" s="14">
        <f t="shared" si="4"/>
        <v>7</v>
      </c>
      <c r="J27" s="14">
        <f t="shared" si="5"/>
        <v>57</v>
      </c>
      <c r="K27" s="14">
        <f t="shared" si="6"/>
        <v>52</v>
      </c>
      <c r="L27" s="14" t="str">
        <f>'Customer Segmentation'!F27</f>
        <v>Inactive / Low Engagement</v>
      </c>
    </row>
    <row r="28" spans="1:12" ht="15" customHeight="1" x14ac:dyDescent="0.3">
      <c r="A28" s="14" t="str">
        <f>'Customer Response Tracker'!A28</f>
        <v>M024</v>
      </c>
      <c r="B28" s="14">
        <f>'Customer Response Tracker'!F28</f>
        <v>46258</v>
      </c>
      <c r="C28" s="14">
        <f t="shared" si="0"/>
        <v>7</v>
      </c>
      <c r="D28" s="14">
        <f t="shared" si="1"/>
        <v>5</v>
      </c>
      <c r="E28" s="14">
        <f>'Customer Response Tracker'!D28</f>
        <v>3</v>
      </c>
      <c r="F28" s="14">
        <f t="shared" si="2"/>
        <v>3</v>
      </c>
      <c r="G28" s="14">
        <f>'Customer Response Tracker'!H28</f>
        <v>251</v>
      </c>
      <c r="H28" s="14">
        <f t="shared" si="3"/>
        <v>2</v>
      </c>
      <c r="I28" s="14">
        <f t="shared" si="4"/>
        <v>10</v>
      </c>
      <c r="J28" s="14">
        <f t="shared" si="5"/>
        <v>46</v>
      </c>
      <c r="K28" s="14">
        <f t="shared" si="6"/>
        <v>59</v>
      </c>
      <c r="L28" s="14" t="str">
        <f>'Customer Segmentation'!F28</f>
        <v>Potential Loyalists</v>
      </c>
    </row>
    <row r="29" spans="1:12" ht="15" customHeight="1" x14ac:dyDescent="0.3">
      <c r="A29" s="14" t="str">
        <f>'Customer Response Tracker'!A29</f>
        <v>M025</v>
      </c>
      <c r="B29" s="14">
        <f>'Customer Response Tracker'!F29</f>
        <v>46222</v>
      </c>
      <c r="C29" s="14">
        <f t="shared" si="0"/>
        <v>43</v>
      </c>
      <c r="D29" s="14">
        <f t="shared" si="1"/>
        <v>2</v>
      </c>
      <c r="E29" s="14">
        <f>'Customer Response Tracker'!D29</f>
        <v>3</v>
      </c>
      <c r="F29" s="14">
        <f t="shared" si="2"/>
        <v>3</v>
      </c>
      <c r="G29" s="14">
        <f>'Customer Response Tracker'!H29</f>
        <v>397</v>
      </c>
      <c r="H29" s="14">
        <f t="shared" si="3"/>
        <v>5</v>
      </c>
      <c r="I29" s="14">
        <f t="shared" si="4"/>
        <v>10</v>
      </c>
      <c r="J29" s="14">
        <f t="shared" si="5"/>
        <v>46</v>
      </c>
      <c r="K29" s="14">
        <f t="shared" si="6"/>
        <v>7</v>
      </c>
      <c r="L29" s="14" t="str">
        <f>'Customer Segmentation'!F29</f>
        <v>At-Risk Customers</v>
      </c>
    </row>
    <row r="30" spans="1:12" ht="15" customHeight="1" x14ac:dyDescent="0.3">
      <c r="A30" s="14" t="str">
        <f>'Customer Response Tracker'!A30</f>
        <v>M026</v>
      </c>
      <c r="B30" s="14">
        <f>'Customer Response Tracker'!F30</f>
        <v>46263</v>
      </c>
      <c r="C30" s="14">
        <f t="shared" si="0"/>
        <v>2</v>
      </c>
      <c r="D30" s="14">
        <f t="shared" si="1"/>
        <v>5</v>
      </c>
      <c r="E30" s="14">
        <f>'Customer Response Tracker'!D30</f>
        <v>3</v>
      </c>
      <c r="F30" s="14">
        <f t="shared" si="2"/>
        <v>3</v>
      </c>
      <c r="G30" s="14">
        <f>'Customer Response Tracker'!H30</f>
        <v>279</v>
      </c>
      <c r="H30" s="14">
        <f t="shared" si="3"/>
        <v>3</v>
      </c>
      <c r="I30" s="14">
        <f t="shared" si="4"/>
        <v>11</v>
      </c>
      <c r="J30" s="14">
        <f t="shared" si="5"/>
        <v>46</v>
      </c>
      <c r="K30" s="14">
        <f t="shared" si="6"/>
        <v>46</v>
      </c>
      <c r="L30" s="14" t="str">
        <f>'Customer Segmentation'!F30</f>
        <v>Loyal Customers</v>
      </c>
    </row>
    <row r="31" spans="1:12" ht="15" customHeight="1" x14ac:dyDescent="0.3">
      <c r="A31" s="14" t="str">
        <f>'Customer Response Tracker'!A31</f>
        <v>M027</v>
      </c>
      <c r="B31" s="14">
        <f>'Customer Response Tracker'!F31</f>
        <v>46262</v>
      </c>
      <c r="C31" s="14">
        <f t="shared" si="0"/>
        <v>3</v>
      </c>
      <c r="D31" s="14">
        <f t="shared" si="1"/>
        <v>5</v>
      </c>
      <c r="E31" s="14">
        <f>'Customer Response Tracker'!D31</f>
        <v>2</v>
      </c>
      <c r="F31" s="14">
        <f t="shared" si="2"/>
        <v>2</v>
      </c>
      <c r="G31" s="14">
        <f>'Customer Response Tracker'!H31</f>
        <v>328</v>
      </c>
      <c r="H31" s="14">
        <f t="shared" si="3"/>
        <v>3</v>
      </c>
      <c r="I31" s="14">
        <f t="shared" si="4"/>
        <v>10</v>
      </c>
      <c r="J31" s="14">
        <f t="shared" si="5"/>
        <v>57</v>
      </c>
      <c r="K31" s="14">
        <f t="shared" si="6"/>
        <v>33</v>
      </c>
      <c r="L31" s="14" t="str">
        <f>'Customer Segmentation'!F31</f>
        <v>Potential Loyalists</v>
      </c>
    </row>
    <row r="32" spans="1:12" ht="15" customHeight="1" x14ac:dyDescent="0.3">
      <c r="A32" s="14" t="str">
        <f>'Customer Response Tracker'!A32</f>
        <v>M028</v>
      </c>
      <c r="B32" s="14">
        <f>'Customer Response Tracker'!F32</f>
        <v>46247</v>
      </c>
      <c r="C32" s="14">
        <f t="shared" si="0"/>
        <v>18</v>
      </c>
      <c r="D32" s="14">
        <f t="shared" si="1"/>
        <v>3</v>
      </c>
      <c r="E32" s="14">
        <f>'Customer Response Tracker'!D32</f>
        <v>6</v>
      </c>
      <c r="F32" s="14">
        <f t="shared" si="2"/>
        <v>4</v>
      </c>
      <c r="G32" s="14">
        <f>'Customer Response Tracker'!H32</f>
        <v>220</v>
      </c>
      <c r="H32" s="14">
        <f t="shared" si="3"/>
        <v>1</v>
      </c>
      <c r="I32" s="14">
        <f t="shared" si="4"/>
        <v>8</v>
      </c>
      <c r="J32" s="14">
        <f t="shared" si="5"/>
        <v>18</v>
      </c>
      <c r="K32" s="14">
        <f t="shared" si="6"/>
        <v>72</v>
      </c>
      <c r="L32" s="14" t="str">
        <f>'Customer Segmentation'!F32</f>
        <v>Inactive / Low Engagement</v>
      </c>
    </row>
    <row r="33" spans="1:12" ht="15" customHeight="1" x14ac:dyDescent="0.3">
      <c r="A33" s="14" t="str">
        <f>'Customer Response Tracker'!A33</f>
        <v>M029</v>
      </c>
      <c r="B33" s="14">
        <f>'Customer Response Tracker'!F33</f>
        <v>46256</v>
      </c>
      <c r="C33" s="14">
        <f t="shared" si="0"/>
        <v>9</v>
      </c>
      <c r="D33" s="14">
        <f t="shared" si="1"/>
        <v>4</v>
      </c>
      <c r="E33" s="14">
        <f>'Customer Response Tracker'!D33</f>
        <v>10</v>
      </c>
      <c r="F33" s="14">
        <f t="shared" si="2"/>
        <v>5</v>
      </c>
      <c r="G33" s="14">
        <f>'Customer Response Tracker'!H33</f>
        <v>283</v>
      </c>
      <c r="H33" s="14">
        <f t="shared" si="3"/>
        <v>3</v>
      </c>
      <c r="I33" s="14">
        <f t="shared" si="4"/>
        <v>12</v>
      </c>
      <c r="J33" s="14">
        <f t="shared" si="5"/>
        <v>1</v>
      </c>
      <c r="K33" s="14">
        <f t="shared" si="6"/>
        <v>44</v>
      </c>
      <c r="L33" s="14" t="str">
        <f>'Customer Segmentation'!F33</f>
        <v>Loyal Customers</v>
      </c>
    </row>
    <row r="34" spans="1:12" ht="15" customHeight="1" x14ac:dyDescent="0.3">
      <c r="A34" s="14" t="str">
        <f>'Customer Response Tracker'!A34</f>
        <v>M030</v>
      </c>
      <c r="B34" s="14">
        <f>'Customer Response Tracker'!F34</f>
        <v>46253</v>
      </c>
      <c r="C34" s="14">
        <f t="shared" si="0"/>
        <v>12</v>
      </c>
      <c r="D34" s="14">
        <f t="shared" si="1"/>
        <v>4</v>
      </c>
      <c r="E34" s="14">
        <f>'Customer Response Tracker'!D34</f>
        <v>7</v>
      </c>
      <c r="F34" s="14">
        <f t="shared" si="2"/>
        <v>5</v>
      </c>
      <c r="G34" s="14">
        <f>'Customer Response Tracker'!H34</f>
        <v>419</v>
      </c>
      <c r="H34" s="14">
        <f t="shared" si="3"/>
        <v>5</v>
      </c>
      <c r="I34" s="14">
        <f t="shared" si="4"/>
        <v>14</v>
      </c>
      <c r="J34" s="14">
        <f t="shared" si="5"/>
        <v>11</v>
      </c>
      <c r="K34" s="14">
        <f t="shared" si="6"/>
        <v>3</v>
      </c>
      <c r="L34" s="14" t="str">
        <f>'Customer Segmentation'!F34</f>
        <v>Champions / Highly Loyal</v>
      </c>
    </row>
    <row r="35" spans="1:12" ht="15" customHeight="1" x14ac:dyDescent="0.3">
      <c r="A35" s="14" t="str">
        <f>'Customer Response Tracker'!A35</f>
        <v>M031</v>
      </c>
      <c r="B35" s="14">
        <f>'Customer Response Tracker'!F35</f>
        <v>46221</v>
      </c>
      <c r="C35" s="14">
        <f t="shared" si="0"/>
        <v>44</v>
      </c>
      <c r="D35" s="14">
        <f t="shared" si="1"/>
        <v>2</v>
      </c>
      <c r="E35" s="14">
        <f>'Customer Response Tracker'!D35</f>
        <v>3</v>
      </c>
      <c r="F35" s="14">
        <f t="shared" si="2"/>
        <v>3</v>
      </c>
      <c r="G35" s="14">
        <f>'Customer Response Tracker'!H35</f>
        <v>256</v>
      </c>
      <c r="H35" s="14">
        <f t="shared" si="3"/>
        <v>2</v>
      </c>
      <c r="I35" s="14">
        <f t="shared" si="4"/>
        <v>7</v>
      </c>
      <c r="J35" s="14">
        <f t="shared" si="5"/>
        <v>46</v>
      </c>
      <c r="K35" s="14">
        <f t="shared" si="6"/>
        <v>57</v>
      </c>
      <c r="L35" s="14" t="str">
        <f>'Customer Segmentation'!F35</f>
        <v>At-Risk Customers</v>
      </c>
    </row>
    <row r="36" spans="1:12" ht="15" customHeight="1" x14ac:dyDescent="0.3">
      <c r="A36" s="14" t="str">
        <f>'Customer Response Tracker'!A36</f>
        <v>M032</v>
      </c>
      <c r="B36" s="14">
        <f>'Customer Response Tracker'!F36</f>
        <v>46255</v>
      </c>
      <c r="C36" s="14">
        <f t="shared" si="0"/>
        <v>10</v>
      </c>
      <c r="D36" s="14">
        <f t="shared" si="1"/>
        <v>4</v>
      </c>
      <c r="E36" s="14">
        <f>'Customer Response Tracker'!D36</f>
        <v>4</v>
      </c>
      <c r="F36" s="14">
        <f t="shared" si="2"/>
        <v>3</v>
      </c>
      <c r="G36" s="14">
        <f>'Customer Response Tracker'!H36</f>
        <v>213</v>
      </c>
      <c r="H36" s="14">
        <f t="shared" si="3"/>
        <v>1</v>
      </c>
      <c r="I36" s="14">
        <f t="shared" si="4"/>
        <v>8</v>
      </c>
      <c r="J36" s="14">
        <f t="shared" si="5"/>
        <v>39</v>
      </c>
      <c r="K36" s="14">
        <f t="shared" si="6"/>
        <v>74</v>
      </c>
      <c r="L36" s="14" t="str">
        <f>'Customer Segmentation'!F36</f>
        <v>Potential Loyalists</v>
      </c>
    </row>
    <row r="37" spans="1:12" ht="15" customHeight="1" x14ac:dyDescent="0.3">
      <c r="A37" s="14" t="str">
        <f>'Customer Response Tracker'!A37</f>
        <v>M033</v>
      </c>
      <c r="B37" s="14">
        <f>'Customer Response Tracker'!F37</f>
        <v>46254</v>
      </c>
      <c r="C37" s="14">
        <f t="shared" ref="C37:C68" si="7">$B$2-B37</f>
        <v>11</v>
      </c>
      <c r="D37" s="14">
        <f t="shared" ref="D37:D68" si="8">IF(C37&lt;=7,5,IF(C37&lt;=15,4,IF(C37&lt;=30,3,IF(C37&lt;=45,2,1))))</f>
        <v>4</v>
      </c>
      <c r="E37" s="14">
        <f>'Customer Response Tracker'!D37</f>
        <v>7</v>
      </c>
      <c r="F37" s="14">
        <f t="shared" ref="F37:F68" si="9">5-INT((RANK(E37,$E$5:$E$84,0)-1)/16)</f>
        <v>5</v>
      </c>
      <c r="G37" s="14">
        <f>'Customer Response Tracker'!H37</f>
        <v>336</v>
      </c>
      <c r="H37" s="14">
        <f t="shared" ref="H37:H68" si="10">5-INT((RANK(G37,$G$5:$G$84,0)-1)/16)</f>
        <v>4</v>
      </c>
      <c r="I37" s="14">
        <f t="shared" ref="I37:I68" si="11">D37+F37+H37</f>
        <v>13</v>
      </c>
      <c r="J37" s="14">
        <f t="shared" ref="J37:J68" si="12">RANK(E37,$E$5:$E$84,0)</f>
        <v>11</v>
      </c>
      <c r="K37" s="14">
        <f t="shared" ref="K37:K68" si="13">RANK(G37,$G$5:$G$84,0)</f>
        <v>32</v>
      </c>
      <c r="L37" s="14" t="str">
        <f>'Customer Segmentation'!F37</f>
        <v>Champions / Highly Loyal</v>
      </c>
    </row>
    <row r="38" spans="1:12" ht="15" customHeight="1" x14ac:dyDescent="0.3">
      <c r="A38" s="14" t="str">
        <f>'Customer Response Tracker'!A38</f>
        <v>M034</v>
      </c>
      <c r="B38" s="14">
        <f>'Customer Response Tracker'!F38</f>
        <v>46260</v>
      </c>
      <c r="C38" s="14">
        <f t="shared" si="7"/>
        <v>5</v>
      </c>
      <c r="D38" s="14">
        <f t="shared" si="8"/>
        <v>5</v>
      </c>
      <c r="E38" s="14">
        <f>'Customer Response Tracker'!D38</f>
        <v>2</v>
      </c>
      <c r="F38" s="14">
        <f t="shared" si="9"/>
        <v>2</v>
      </c>
      <c r="G38" s="14">
        <f>'Customer Response Tracker'!H38</f>
        <v>407</v>
      </c>
      <c r="H38" s="14">
        <f t="shared" si="10"/>
        <v>5</v>
      </c>
      <c r="I38" s="14">
        <f t="shared" si="11"/>
        <v>12</v>
      </c>
      <c r="J38" s="14">
        <f t="shared" si="12"/>
        <v>57</v>
      </c>
      <c r="K38" s="14">
        <f t="shared" si="13"/>
        <v>4</v>
      </c>
      <c r="L38" s="14" t="str">
        <f>'Customer Segmentation'!F38</f>
        <v>Potential Loyalists</v>
      </c>
    </row>
    <row r="39" spans="1:12" ht="15" customHeight="1" x14ac:dyDescent="0.3">
      <c r="A39" s="14" t="str">
        <f>'Customer Response Tracker'!A39</f>
        <v>M035</v>
      </c>
      <c r="B39" s="14">
        <f>'Customer Response Tracker'!F39</f>
        <v>46257</v>
      </c>
      <c r="C39" s="14">
        <f t="shared" si="7"/>
        <v>8</v>
      </c>
      <c r="D39" s="14">
        <f t="shared" si="8"/>
        <v>4</v>
      </c>
      <c r="E39" s="14">
        <f>'Customer Response Tracker'!D39</f>
        <v>8</v>
      </c>
      <c r="F39" s="14">
        <f t="shared" si="9"/>
        <v>5</v>
      </c>
      <c r="G39" s="14">
        <f>'Customer Response Tracker'!H39</f>
        <v>355</v>
      </c>
      <c r="H39" s="14">
        <f t="shared" si="10"/>
        <v>4</v>
      </c>
      <c r="I39" s="14">
        <f t="shared" si="11"/>
        <v>13</v>
      </c>
      <c r="J39" s="14">
        <f t="shared" si="12"/>
        <v>4</v>
      </c>
      <c r="K39" s="14">
        <f t="shared" si="13"/>
        <v>27</v>
      </c>
      <c r="L39" s="14" t="str">
        <f>'Customer Segmentation'!F39</f>
        <v>Champions / Highly Loyal</v>
      </c>
    </row>
    <row r="40" spans="1:12" ht="15" customHeight="1" x14ac:dyDescent="0.3">
      <c r="A40" s="14" t="str">
        <f>'Customer Response Tracker'!A40</f>
        <v>M036</v>
      </c>
      <c r="B40" s="14">
        <f>'Customer Response Tracker'!F40</f>
        <v>46237</v>
      </c>
      <c r="C40" s="14">
        <f t="shared" si="7"/>
        <v>28</v>
      </c>
      <c r="D40" s="14">
        <f t="shared" si="8"/>
        <v>3</v>
      </c>
      <c r="E40" s="14">
        <f>'Customer Response Tracker'!D40</f>
        <v>8</v>
      </c>
      <c r="F40" s="14">
        <f t="shared" si="9"/>
        <v>5</v>
      </c>
      <c r="G40" s="14">
        <f>'Customer Response Tracker'!H40</f>
        <v>250</v>
      </c>
      <c r="H40" s="14">
        <f t="shared" si="10"/>
        <v>2</v>
      </c>
      <c r="I40" s="14">
        <f t="shared" si="11"/>
        <v>10</v>
      </c>
      <c r="J40" s="14">
        <f t="shared" si="12"/>
        <v>4</v>
      </c>
      <c r="K40" s="14">
        <f t="shared" si="13"/>
        <v>60</v>
      </c>
      <c r="L40" s="14" t="str">
        <f>'Customer Segmentation'!F40</f>
        <v>Inactive / Low Engagement</v>
      </c>
    </row>
    <row r="41" spans="1:12" ht="15" customHeight="1" x14ac:dyDescent="0.3">
      <c r="A41" s="14" t="str">
        <f>'Customer Response Tracker'!A41</f>
        <v>M037</v>
      </c>
      <c r="B41" s="14">
        <f>'Customer Response Tracker'!F41</f>
        <v>46233</v>
      </c>
      <c r="C41" s="14">
        <f t="shared" si="7"/>
        <v>32</v>
      </c>
      <c r="D41" s="14">
        <f t="shared" si="8"/>
        <v>2</v>
      </c>
      <c r="E41" s="14">
        <f>'Customer Response Tracker'!D41</f>
        <v>3</v>
      </c>
      <c r="F41" s="14">
        <f t="shared" si="9"/>
        <v>3</v>
      </c>
      <c r="G41" s="14">
        <f>'Customer Response Tracker'!H41</f>
        <v>323</v>
      </c>
      <c r="H41" s="14">
        <f t="shared" si="10"/>
        <v>3</v>
      </c>
      <c r="I41" s="14">
        <f t="shared" si="11"/>
        <v>8</v>
      </c>
      <c r="J41" s="14">
        <f t="shared" si="12"/>
        <v>46</v>
      </c>
      <c r="K41" s="14">
        <f t="shared" si="13"/>
        <v>34</v>
      </c>
      <c r="L41" s="14" t="str">
        <f>'Customer Segmentation'!F41</f>
        <v>At-Risk Customers</v>
      </c>
    </row>
    <row r="42" spans="1:12" ht="15" customHeight="1" x14ac:dyDescent="0.3">
      <c r="A42" s="14" t="str">
        <f>'Customer Response Tracker'!A42</f>
        <v>M038</v>
      </c>
      <c r="B42" s="14">
        <f>'Customer Response Tracker'!F42</f>
        <v>46250</v>
      </c>
      <c r="C42" s="14">
        <f t="shared" si="7"/>
        <v>15</v>
      </c>
      <c r="D42" s="14">
        <f t="shared" si="8"/>
        <v>4</v>
      </c>
      <c r="E42" s="14">
        <f>'Customer Response Tracker'!D42</f>
        <v>4</v>
      </c>
      <c r="F42" s="14">
        <f t="shared" si="9"/>
        <v>3</v>
      </c>
      <c r="G42" s="14">
        <f>'Customer Response Tracker'!H42</f>
        <v>212</v>
      </c>
      <c r="H42" s="14">
        <f t="shared" si="10"/>
        <v>1</v>
      </c>
      <c r="I42" s="14">
        <f t="shared" si="11"/>
        <v>8</v>
      </c>
      <c r="J42" s="14">
        <f t="shared" si="12"/>
        <v>39</v>
      </c>
      <c r="K42" s="14">
        <f t="shared" si="13"/>
        <v>75</v>
      </c>
      <c r="L42" s="14" t="str">
        <f>'Customer Segmentation'!F42</f>
        <v>Potential Loyalists</v>
      </c>
    </row>
    <row r="43" spans="1:12" ht="15" customHeight="1" x14ac:dyDescent="0.3">
      <c r="A43" s="14" t="str">
        <f>'Customer Response Tracker'!A43</f>
        <v>M039</v>
      </c>
      <c r="B43" s="14">
        <f>'Customer Response Tracker'!F43</f>
        <v>46252</v>
      </c>
      <c r="C43" s="14">
        <f t="shared" si="7"/>
        <v>13</v>
      </c>
      <c r="D43" s="14">
        <f t="shared" si="8"/>
        <v>4</v>
      </c>
      <c r="E43" s="14">
        <f>'Customer Response Tracker'!D43</f>
        <v>5</v>
      </c>
      <c r="F43" s="14">
        <f t="shared" si="9"/>
        <v>4</v>
      </c>
      <c r="G43" s="14">
        <f>'Customer Response Tracker'!H43</f>
        <v>379</v>
      </c>
      <c r="H43" s="14">
        <f t="shared" si="10"/>
        <v>5</v>
      </c>
      <c r="I43" s="14">
        <f t="shared" si="11"/>
        <v>13</v>
      </c>
      <c r="J43" s="14">
        <f t="shared" si="12"/>
        <v>27</v>
      </c>
      <c r="K43" s="14">
        <f t="shared" si="13"/>
        <v>12</v>
      </c>
      <c r="L43" s="14" t="str">
        <f>'Customer Segmentation'!F43</f>
        <v>Champions / Highly Loyal</v>
      </c>
    </row>
    <row r="44" spans="1:12" ht="15" customHeight="1" x14ac:dyDescent="0.3">
      <c r="A44" s="14" t="str">
        <f>'Customer Response Tracker'!A44</f>
        <v>M040</v>
      </c>
      <c r="B44" s="14">
        <f>'Customer Response Tracker'!F44</f>
        <v>46258</v>
      </c>
      <c r="C44" s="14">
        <f t="shared" si="7"/>
        <v>7</v>
      </c>
      <c r="D44" s="14">
        <f t="shared" si="8"/>
        <v>5</v>
      </c>
      <c r="E44" s="14">
        <f>'Customer Response Tracker'!D44</f>
        <v>2</v>
      </c>
      <c r="F44" s="14">
        <f t="shared" si="9"/>
        <v>2</v>
      </c>
      <c r="G44" s="14">
        <f>'Customer Response Tracker'!H44</f>
        <v>368</v>
      </c>
      <c r="H44" s="14">
        <f t="shared" si="10"/>
        <v>4</v>
      </c>
      <c r="I44" s="14">
        <f t="shared" si="11"/>
        <v>11</v>
      </c>
      <c r="J44" s="14">
        <f t="shared" si="12"/>
        <v>57</v>
      </c>
      <c r="K44" s="14">
        <f t="shared" si="13"/>
        <v>20</v>
      </c>
      <c r="L44" s="14" t="str">
        <f>'Customer Segmentation'!F44</f>
        <v>Potential Loyalists</v>
      </c>
    </row>
    <row r="45" spans="1:12" ht="15" customHeight="1" x14ac:dyDescent="0.3">
      <c r="A45" s="14" t="str">
        <f>'Customer Response Tracker'!A45</f>
        <v>M041</v>
      </c>
      <c r="B45" s="14">
        <f>'Customer Response Tracker'!F45</f>
        <v>46262</v>
      </c>
      <c r="C45" s="14">
        <f t="shared" si="7"/>
        <v>3</v>
      </c>
      <c r="D45" s="14">
        <f t="shared" si="8"/>
        <v>5</v>
      </c>
      <c r="E45" s="14">
        <f>'Customer Response Tracker'!D45</f>
        <v>7</v>
      </c>
      <c r="F45" s="14">
        <f t="shared" si="9"/>
        <v>5</v>
      </c>
      <c r="G45" s="14">
        <f>'Customer Response Tracker'!H45</f>
        <v>399</v>
      </c>
      <c r="H45" s="14">
        <f t="shared" si="10"/>
        <v>5</v>
      </c>
      <c r="I45" s="14">
        <f t="shared" si="11"/>
        <v>15</v>
      </c>
      <c r="J45" s="14">
        <f t="shared" si="12"/>
        <v>11</v>
      </c>
      <c r="K45" s="14">
        <f t="shared" si="13"/>
        <v>6</v>
      </c>
      <c r="L45" s="14" t="str">
        <f>'Customer Segmentation'!F45</f>
        <v>Champions / Highly Loyal</v>
      </c>
    </row>
    <row r="46" spans="1:12" ht="15" customHeight="1" x14ac:dyDescent="0.3">
      <c r="A46" s="14" t="str">
        <f>'Customer Response Tracker'!A46</f>
        <v>M042</v>
      </c>
      <c r="B46" s="14">
        <f>'Customer Response Tracker'!F46</f>
        <v>46242</v>
      </c>
      <c r="C46" s="14">
        <f t="shared" si="7"/>
        <v>23</v>
      </c>
      <c r="D46" s="14">
        <f t="shared" si="8"/>
        <v>3</v>
      </c>
      <c r="E46" s="14">
        <f>'Customer Response Tracker'!D46</f>
        <v>1</v>
      </c>
      <c r="F46" s="14">
        <f t="shared" si="9"/>
        <v>1</v>
      </c>
      <c r="G46" s="14">
        <f>'Customer Response Tracker'!H46</f>
        <v>229</v>
      </c>
      <c r="H46" s="14">
        <f t="shared" si="10"/>
        <v>1</v>
      </c>
      <c r="I46" s="14">
        <f t="shared" si="11"/>
        <v>5</v>
      </c>
      <c r="J46" s="14">
        <f t="shared" si="12"/>
        <v>70</v>
      </c>
      <c r="K46" s="14">
        <f t="shared" si="13"/>
        <v>69</v>
      </c>
      <c r="L46" s="14" t="str">
        <f>'Customer Segmentation'!F46</f>
        <v>Inactive / Low Engagement</v>
      </c>
    </row>
    <row r="47" spans="1:12" ht="15" customHeight="1" x14ac:dyDescent="0.3">
      <c r="A47" s="14" t="str">
        <f>'Customer Response Tracker'!A47</f>
        <v>M043</v>
      </c>
      <c r="B47" s="14">
        <f>'Customer Response Tracker'!F47</f>
        <v>46237</v>
      </c>
      <c r="C47" s="14">
        <f t="shared" si="7"/>
        <v>28</v>
      </c>
      <c r="D47" s="14">
        <f t="shared" si="8"/>
        <v>3</v>
      </c>
      <c r="E47" s="14">
        <f>'Customer Response Tracker'!D47</f>
        <v>6</v>
      </c>
      <c r="F47" s="14">
        <f t="shared" si="9"/>
        <v>4</v>
      </c>
      <c r="G47" s="14">
        <f>'Customer Response Tracker'!H47</f>
        <v>317</v>
      </c>
      <c r="H47" s="14">
        <f t="shared" si="10"/>
        <v>3</v>
      </c>
      <c r="I47" s="14">
        <f t="shared" si="11"/>
        <v>10</v>
      </c>
      <c r="J47" s="14">
        <f t="shared" si="12"/>
        <v>18</v>
      </c>
      <c r="K47" s="14">
        <f t="shared" si="13"/>
        <v>36</v>
      </c>
      <c r="L47" s="14" t="str">
        <f>'Customer Segmentation'!F47</f>
        <v>Loyal Customers</v>
      </c>
    </row>
    <row r="48" spans="1:12" ht="15" customHeight="1" x14ac:dyDescent="0.3">
      <c r="A48" s="14" t="str">
        <f>'Customer Response Tracker'!A48</f>
        <v>M044</v>
      </c>
      <c r="B48" s="14">
        <f>'Customer Response Tracker'!F48</f>
        <v>46214</v>
      </c>
      <c r="C48" s="14">
        <f t="shared" si="7"/>
        <v>51</v>
      </c>
      <c r="D48" s="14">
        <f t="shared" si="8"/>
        <v>1</v>
      </c>
      <c r="E48" s="14">
        <f>'Customer Response Tracker'!D48</f>
        <v>1</v>
      </c>
      <c r="F48" s="14">
        <f t="shared" si="9"/>
        <v>1</v>
      </c>
      <c r="G48" s="14">
        <f>'Customer Response Tracker'!H48</f>
        <v>291</v>
      </c>
      <c r="H48" s="14">
        <f t="shared" si="10"/>
        <v>3</v>
      </c>
      <c r="I48" s="14">
        <f t="shared" si="11"/>
        <v>5</v>
      </c>
      <c r="J48" s="14">
        <f t="shared" si="12"/>
        <v>70</v>
      </c>
      <c r="K48" s="14">
        <f t="shared" si="13"/>
        <v>42</v>
      </c>
      <c r="L48" s="14" t="str">
        <f>'Customer Segmentation'!F48</f>
        <v>At-Risk Customers</v>
      </c>
    </row>
    <row r="49" spans="1:12" ht="15" customHeight="1" x14ac:dyDescent="0.3">
      <c r="A49" s="14" t="str">
        <f>'Customer Response Tracker'!A49</f>
        <v>M045</v>
      </c>
      <c r="B49" s="14">
        <f>'Customer Response Tracker'!F49</f>
        <v>46241</v>
      </c>
      <c r="C49" s="14">
        <f t="shared" si="7"/>
        <v>24</v>
      </c>
      <c r="D49" s="14">
        <f t="shared" si="8"/>
        <v>3</v>
      </c>
      <c r="E49" s="14">
        <f>'Customer Response Tracker'!D49</f>
        <v>1</v>
      </c>
      <c r="F49" s="14">
        <f t="shared" si="9"/>
        <v>1</v>
      </c>
      <c r="G49" s="14">
        <f>'Customer Response Tracker'!H49</f>
        <v>291</v>
      </c>
      <c r="H49" s="14">
        <f t="shared" si="10"/>
        <v>3</v>
      </c>
      <c r="I49" s="14">
        <f t="shared" si="11"/>
        <v>7</v>
      </c>
      <c r="J49" s="14">
        <f t="shared" si="12"/>
        <v>70</v>
      </c>
      <c r="K49" s="14">
        <f t="shared" si="13"/>
        <v>42</v>
      </c>
      <c r="L49" s="14" t="str">
        <f>'Customer Segmentation'!F49</f>
        <v>Inactive / Low Engagement</v>
      </c>
    </row>
    <row r="50" spans="1:12" ht="15" customHeight="1" x14ac:dyDescent="0.3">
      <c r="A50" s="14" t="str">
        <f>'Customer Response Tracker'!A50</f>
        <v>M046</v>
      </c>
      <c r="B50" s="14">
        <f>'Customer Response Tracker'!F50</f>
        <v>46244</v>
      </c>
      <c r="C50" s="14">
        <f t="shared" si="7"/>
        <v>21</v>
      </c>
      <c r="D50" s="14">
        <f t="shared" si="8"/>
        <v>3</v>
      </c>
      <c r="E50" s="14">
        <f>'Customer Response Tracker'!D50</f>
        <v>7</v>
      </c>
      <c r="F50" s="14">
        <f t="shared" si="9"/>
        <v>5</v>
      </c>
      <c r="G50" s="14">
        <f>'Customer Response Tracker'!H50</f>
        <v>260</v>
      </c>
      <c r="H50" s="14">
        <f t="shared" si="10"/>
        <v>2</v>
      </c>
      <c r="I50" s="14">
        <f t="shared" si="11"/>
        <v>10</v>
      </c>
      <c r="J50" s="14">
        <f t="shared" si="12"/>
        <v>11</v>
      </c>
      <c r="K50" s="14">
        <f t="shared" si="13"/>
        <v>55</v>
      </c>
      <c r="L50" s="14" t="str">
        <f>'Customer Segmentation'!F50</f>
        <v>Inactive / Low Engagement</v>
      </c>
    </row>
    <row r="51" spans="1:12" ht="15" customHeight="1" x14ac:dyDescent="0.3">
      <c r="A51" s="14" t="str">
        <f>'Customer Response Tracker'!A51</f>
        <v>M047</v>
      </c>
      <c r="B51" s="14">
        <f>'Customer Response Tracker'!F51</f>
        <v>46241</v>
      </c>
      <c r="C51" s="14">
        <f t="shared" si="7"/>
        <v>24</v>
      </c>
      <c r="D51" s="14">
        <f t="shared" si="8"/>
        <v>3</v>
      </c>
      <c r="E51" s="14">
        <f>'Customer Response Tracker'!D51</f>
        <v>5</v>
      </c>
      <c r="F51" s="14">
        <f t="shared" si="9"/>
        <v>4</v>
      </c>
      <c r="G51" s="14">
        <f>'Customer Response Tracker'!H51</f>
        <v>255</v>
      </c>
      <c r="H51" s="14">
        <f t="shared" si="10"/>
        <v>2</v>
      </c>
      <c r="I51" s="14">
        <f t="shared" si="11"/>
        <v>9</v>
      </c>
      <c r="J51" s="14">
        <f t="shared" si="12"/>
        <v>27</v>
      </c>
      <c r="K51" s="14">
        <f t="shared" si="13"/>
        <v>58</v>
      </c>
      <c r="L51" s="14" t="str">
        <f>'Customer Segmentation'!F51</f>
        <v>Inactive / Low Engagement</v>
      </c>
    </row>
    <row r="52" spans="1:12" ht="15" customHeight="1" x14ac:dyDescent="0.3">
      <c r="A52" s="14" t="str">
        <f>'Customer Response Tracker'!A52</f>
        <v>M048</v>
      </c>
      <c r="B52" s="14">
        <f>'Customer Response Tracker'!F52</f>
        <v>46246</v>
      </c>
      <c r="C52" s="14">
        <f t="shared" si="7"/>
        <v>19</v>
      </c>
      <c r="D52" s="14">
        <f t="shared" si="8"/>
        <v>3</v>
      </c>
      <c r="E52" s="14">
        <f>'Customer Response Tracker'!D52</f>
        <v>4</v>
      </c>
      <c r="F52" s="14">
        <f t="shared" si="9"/>
        <v>3</v>
      </c>
      <c r="G52" s="14">
        <f>'Customer Response Tracker'!H52</f>
        <v>393</v>
      </c>
      <c r="H52" s="14">
        <f t="shared" si="10"/>
        <v>5</v>
      </c>
      <c r="I52" s="14">
        <f t="shared" si="11"/>
        <v>11</v>
      </c>
      <c r="J52" s="14">
        <f t="shared" si="12"/>
        <v>39</v>
      </c>
      <c r="K52" s="14">
        <f t="shared" si="13"/>
        <v>9</v>
      </c>
      <c r="L52" s="14" t="str">
        <f>'Customer Segmentation'!F52</f>
        <v>Loyal Customers</v>
      </c>
    </row>
    <row r="53" spans="1:12" ht="15" customHeight="1" x14ac:dyDescent="0.3">
      <c r="A53" s="14" t="str">
        <f>'Customer Response Tracker'!A53</f>
        <v>M049</v>
      </c>
      <c r="B53" s="14">
        <f>'Customer Response Tracker'!F53</f>
        <v>46257</v>
      </c>
      <c r="C53" s="14">
        <f t="shared" si="7"/>
        <v>8</v>
      </c>
      <c r="D53" s="14">
        <f t="shared" si="8"/>
        <v>4</v>
      </c>
      <c r="E53" s="14">
        <f>'Customer Response Tracker'!D53</f>
        <v>7</v>
      </c>
      <c r="F53" s="14">
        <f t="shared" si="9"/>
        <v>5</v>
      </c>
      <c r="G53" s="14">
        <f>'Customer Response Tracker'!H53</f>
        <v>310</v>
      </c>
      <c r="H53" s="14">
        <f t="shared" si="10"/>
        <v>3</v>
      </c>
      <c r="I53" s="14">
        <f t="shared" si="11"/>
        <v>12</v>
      </c>
      <c r="J53" s="14">
        <f t="shared" si="12"/>
        <v>11</v>
      </c>
      <c r="K53" s="14">
        <f t="shared" si="13"/>
        <v>37</v>
      </c>
      <c r="L53" s="14" t="str">
        <f>'Customer Segmentation'!F53</f>
        <v>Loyal Customers</v>
      </c>
    </row>
    <row r="54" spans="1:12" ht="15" customHeight="1" x14ac:dyDescent="0.3">
      <c r="A54" s="14" t="str">
        <f>'Customer Response Tracker'!A54</f>
        <v>M050</v>
      </c>
      <c r="B54" s="14">
        <f>'Customer Response Tracker'!F54</f>
        <v>46227</v>
      </c>
      <c r="C54" s="14">
        <f t="shared" si="7"/>
        <v>38</v>
      </c>
      <c r="D54" s="14">
        <f t="shared" si="8"/>
        <v>2</v>
      </c>
      <c r="E54" s="14">
        <f>'Customer Response Tracker'!D54</f>
        <v>1</v>
      </c>
      <c r="F54" s="14">
        <f t="shared" si="9"/>
        <v>1</v>
      </c>
      <c r="G54" s="14">
        <f>'Customer Response Tracker'!H54</f>
        <v>372</v>
      </c>
      <c r="H54" s="14">
        <f t="shared" si="10"/>
        <v>4</v>
      </c>
      <c r="I54" s="14">
        <f t="shared" si="11"/>
        <v>7</v>
      </c>
      <c r="J54" s="14">
        <f t="shared" si="12"/>
        <v>70</v>
      </c>
      <c r="K54" s="14">
        <f t="shared" si="13"/>
        <v>18</v>
      </c>
      <c r="L54" s="14" t="str">
        <f>'Customer Segmentation'!F54</f>
        <v>At-Risk Customers</v>
      </c>
    </row>
    <row r="55" spans="1:12" ht="15" customHeight="1" x14ac:dyDescent="0.3">
      <c r="A55" s="14" t="str">
        <f>'Customer Response Tracker'!A55</f>
        <v>M051</v>
      </c>
      <c r="B55" s="14">
        <f>'Customer Response Tracker'!F55</f>
        <v>46244</v>
      </c>
      <c r="C55" s="14">
        <f t="shared" si="7"/>
        <v>21</v>
      </c>
      <c r="D55" s="14">
        <f t="shared" si="8"/>
        <v>3</v>
      </c>
      <c r="E55" s="14">
        <f>'Customer Response Tracker'!D55</f>
        <v>4</v>
      </c>
      <c r="F55" s="14">
        <f t="shared" si="9"/>
        <v>3</v>
      </c>
      <c r="G55" s="14">
        <f>'Customer Response Tracker'!H55</f>
        <v>397</v>
      </c>
      <c r="H55" s="14">
        <f t="shared" si="10"/>
        <v>5</v>
      </c>
      <c r="I55" s="14">
        <f t="shared" si="11"/>
        <v>11</v>
      </c>
      <c r="J55" s="14">
        <f t="shared" si="12"/>
        <v>39</v>
      </c>
      <c r="K55" s="14">
        <f t="shared" si="13"/>
        <v>7</v>
      </c>
      <c r="L55" s="14" t="str">
        <f>'Customer Segmentation'!F55</f>
        <v>Loyal Customers</v>
      </c>
    </row>
    <row r="56" spans="1:12" ht="15" customHeight="1" x14ac:dyDescent="0.3">
      <c r="A56" s="14" t="str">
        <f>'Customer Response Tracker'!A56</f>
        <v>M052</v>
      </c>
      <c r="B56" s="14">
        <f>'Customer Response Tracker'!F56</f>
        <v>46243</v>
      </c>
      <c r="C56" s="14">
        <f t="shared" si="7"/>
        <v>22</v>
      </c>
      <c r="D56" s="14">
        <f t="shared" si="8"/>
        <v>3</v>
      </c>
      <c r="E56" s="14">
        <f>'Customer Response Tracker'!D56</f>
        <v>2</v>
      </c>
      <c r="F56" s="14">
        <f t="shared" si="9"/>
        <v>2</v>
      </c>
      <c r="G56" s="14">
        <f>'Customer Response Tracker'!H56</f>
        <v>356</v>
      </c>
      <c r="H56" s="14">
        <f t="shared" si="10"/>
        <v>4</v>
      </c>
      <c r="I56" s="14">
        <f t="shared" si="11"/>
        <v>9</v>
      </c>
      <c r="J56" s="14">
        <f t="shared" si="12"/>
        <v>57</v>
      </c>
      <c r="K56" s="14">
        <f t="shared" si="13"/>
        <v>26</v>
      </c>
      <c r="L56" s="14" t="str">
        <f>'Customer Segmentation'!F56</f>
        <v>Inactive / Low Engagement</v>
      </c>
    </row>
    <row r="57" spans="1:12" ht="15" customHeight="1" x14ac:dyDescent="0.3">
      <c r="A57" s="14" t="str">
        <f>'Customer Response Tracker'!A57</f>
        <v>M053</v>
      </c>
      <c r="B57" s="14">
        <f>'Customer Response Tracker'!F57</f>
        <v>46246</v>
      </c>
      <c r="C57" s="14">
        <f t="shared" si="7"/>
        <v>19</v>
      </c>
      <c r="D57" s="14">
        <f t="shared" si="8"/>
        <v>3</v>
      </c>
      <c r="E57" s="14">
        <f>'Customer Response Tracker'!D57</f>
        <v>3</v>
      </c>
      <c r="F57" s="14">
        <f t="shared" si="9"/>
        <v>3</v>
      </c>
      <c r="G57" s="14">
        <f>'Customer Response Tracker'!H57</f>
        <v>243</v>
      </c>
      <c r="H57" s="14">
        <f t="shared" si="10"/>
        <v>2</v>
      </c>
      <c r="I57" s="14">
        <f t="shared" si="11"/>
        <v>8</v>
      </c>
      <c r="J57" s="14">
        <f t="shared" si="12"/>
        <v>46</v>
      </c>
      <c r="K57" s="14">
        <f t="shared" si="13"/>
        <v>63</v>
      </c>
      <c r="L57" s="14" t="str">
        <f>'Customer Segmentation'!F57</f>
        <v>Inactive / Low Engagement</v>
      </c>
    </row>
    <row r="58" spans="1:12" ht="15" customHeight="1" x14ac:dyDescent="0.3">
      <c r="A58" s="14" t="str">
        <f>'Customer Response Tracker'!A58</f>
        <v>M054</v>
      </c>
      <c r="B58" s="14">
        <f>'Customer Response Tracker'!F58</f>
        <v>46253</v>
      </c>
      <c r="C58" s="14">
        <f t="shared" si="7"/>
        <v>12</v>
      </c>
      <c r="D58" s="14">
        <f t="shared" si="8"/>
        <v>4</v>
      </c>
      <c r="E58" s="14">
        <f>'Customer Response Tracker'!D58</f>
        <v>6</v>
      </c>
      <c r="F58" s="14">
        <f t="shared" si="9"/>
        <v>4</v>
      </c>
      <c r="G58" s="14">
        <f>'Customer Response Tracker'!H58</f>
        <v>373</v>
      </c>
      <c r="H58" s="14">
        <f t="shared" si="10"/>
        <v>5</v>
      </c>
      <c r="I58" s="14">
        <f t="shared" si="11"/>
        <v>13</v>
      </c>
      <c r="J58" s="14">
        <f t="shared" si="12"/>
        <v>18</v>
      </c>
      <c r="K58" s="14">
        <f t="shared" si="13"/>
        <v>16</v>
      </c>
      <c r="L58" s="14" t="str">
        <f>'Customer Segmentation'!F58</f>
        <v>Champions / Highly Loyal</v>
      </c>
    </row>
    <row r="59" spans="1:12" ht="15" customHeight="1" x14ac:dyDescent="0.3">
      <c r="A59" s="14" t="str">
        <f>'Customer Response Tracker'!A59</f>
        <v>M055</v>
      </c>
      <c r="B59" s="14">
        <f>'Customer Response Tracker'!F59</f>
        <v>46239</v>
      </c>
      <c r="C59" s="14">
        <f t="shared" si="7"/>
        <v>26</v>
      </c>
      <c r="D59" s="14">
        <f t="shared" si="8"/>
        <v>3</v>
      </c>
      <c r="E59" s="14">
        <f>'Customer Response Tracker'!D59</f>
        <v>5</v>
      </c>
      <c r="F59" s="14">
        <f t="shared" si="9"/>
        <v>4</v>
      </c>
      <c r="G59" s="14">
        <f>'Customer Response Tracker'!H59</f>
        <v>243</v>
      </c>
      <c r="H59" s="14">
        <f t="shared" si="10"/>
        <v>2</v>
      </c>
      <c r="I59" s="14">
        <f t="shared" si="11"/>
        <v>9</v>
      </c>
      <c r="J59" s="14">
        <f t="shared" si="12"/>
        <v>27</v>
      </c>
      <c r="K59" s="14">
        <f t="shared" si="13"/>
        <v>63</v>
      </c>
      <c r="L59" s="14" t="str">
        <f>'Customer Segmentation'!F59</f>
        <v>Inactive / Low Engagement</v>
      </c>
    </row>
    <row r="60" spans="1:12" ht="15" customHeight="1" x14ac:dyDescent="0.3">
      <c r="A60" s="14" t="str">
        <f>'Customer Response Tracker'!A60</f>
        <v>M056</v>
      </c>
      <c r="B60" s="14">
        <f>'Customer Response Tracker'!F60</f>
        <v>46229</v>
      </c>
      <c r="C60" s="14">
        <f t="shared" si="7"/>
        <v>36</v>
      </c>
      <c r="D60" s="14">
        <f t="shared" si="8"/>
        <v>2</v>
      </c>
      <c r="E60" s="14">
        <f>'Customer Response Tracker'!D60</f>
        <v>1</v>
      </c>
      <c r="F60" s="14">
        <f t="shared" si="9"/>
        <v>1</v>
      </c>
      <c r="G60" s="14">
        <f>'Customer Response Tracker'!H60</f>
        <v>240</v>
      </c>
      <c r="H60" s="14">
        <f t="shared" si="10"/>
        <v>1</v>
      </c>
      <c r="I60" s="14">
        <f t="shared" si="11"/>
        <v>4</v>
      </c>
      <c r="J60" s="14">
        <f t="shared" si="12"/>
        <v>70</v>
      </c>
      <c r="K60" s="14">
        <f t="shared" si="13"/>
        <v>66</v>
      </c>
      <c r="L60" s="14" t="str">
        <f>'Customer Segmentation'!F60</f>
        <v>At-Risk Customers</v>
      </c>
    </row>
    <row r="61" spans="1:12" ht="15" customHeight="1" x14ac:dyDescent="0.3">
      <c r="A61" s="14" t="str">
        <f>'Customer Response Tracker'!A61</f>
        <v>M057</v>
      </c>
      <c r="B61" s="14">
        <f>'Customer Response Tracker'!F61</f>
        <v>46259</v>
      </c>
      <c r="C61" s="14">
        <f t="shared" si="7"/>
        <v>6</v>
      </c>
      <c r="D61" s="14">
        <f t="shared" si="8"/>
        <v>5</v>
      </c>
      <c r="E61" s="14">
        <f>'Customer Response Tracker'!D61</f>
        <v>6</v>
      </c>
      <c r="F61" s="14">
        <f t="shared" si="9"/>
        <v>4</v>
      </c>
      <c r="G61" s="14">
        <f>'Customer Response Tracker'!H61</f>
        <v>360</v>
      </c>
      <c r="H61" s="14">
        <f t="shared" si="10"/>
        <v>4</v>
      </c>
      <c r="I61" s="14">
        <f t="shared" si="11"/>
        <v>13</v>
      </c>
      <c r="J61" s="14">
        <f t="shared" si="12"/>
        <v>18</v>
      </c>
      <c r="K61" s="14">
        <f t="shared" si="13"/>
        <v>23</v>
      </c>
      <c r="L61" s="14" t="str">
        <f>'Customer Segmentation'!F61</f>
        <v>Champions / Highly Loyal</v>
      </c>
    </row>
    <row r="62" spans="1:12" ht="15" customHeight="1" x14ac:dyDescent="0.3">
      <c r="A62" s="14" t="str">
        <f>'Customer Response Tracker'!A62</f>
        <v>M058</v>
      </c>
      <c r="B62" s="14">
        <f>'Customer Response Tracker'!F62</f>
        <v>46250</v>
      </c>
      <c r="C62" s="14">
        <f t="shared" si="7"/>
        <v>15</v>
      </c>
      <c r="D62" s="14">
        <f t="shared" si="8"/>
        <v>4</v>
      </c>
      <c r="E62" s="14">
        <f>'Customer Response Tracker'!D62</f>
        <v>6</v>
      </c>
      <c r="F62" s="14">
        <f t="shared" si="9"/>
        <v>4</v>
      </c>
      <c r="G62" s="14">
        <f>'Customer Response Tracker'!H62</f>
        <v>279</v>
      </c>
      <c r="H62" s="14">
        <f t="shared" si="10"/>
        <v>3</v>
      </c>
      <c r="I62" s="14">
        <f t="shared" si="11"/>
        <v>11</v>
      </c>
      <c r="J62" s="14">
        <f t="shared" si="12"/>
        <v>18</v>
      </c>
      <c r="K62" s="14">
        <f t="shared" si="13"/>
        <v>46</v>
      </c>
      <c r="L62" s="14" t="str">
        <f>'Customer Segmentation'!F62</f>
        <v>Loyal Customers</v>
      </c>
    </row>
    <row r="63" spans="1:12" ht="15" customHeight="1" x14ac:dyDescent="0.3">
      <c r="A63" s="14" t="str">
        <f>'Customer Response Tracker'!A63</f>
        <v>M059</v>
      </c>
      <c r="B63" s="14">
        <f>'Customer Response Tracker'!F63</f>
        <v>46239</v>
      </c>
      <c r="C63" s="14">
        <f t="shared" si="7"/>
        <v>26</v>
      </c>
      <c r="D63" s="14">
        <f t="shared" si="8"/>
        <v>3</v>
      </c>
      <c r="E63" s="14">
        <f>'Customer Response Tracker'!D63</f>
        <v>4</v>
      </c>
      <c r="F63" s="14">
        <f t="shared" si="9"/>
        <v>3</v>
      </c>
      <c r="G63" s="14">
        <f>'Customer Response Tracker'!H63</f>
        <v>279</v>
      </c>
      <c r="H63" s="14">
        <f t="shared" si="10"/>
        <v>3</v>
      </c>
      <c r="I63" s="14">
        <f t="shared" si="11"/>
        <v>9</v>
      </c>
      <c r="J63" s="14">
        <f t="shared" si="12"/>
        <v>39</v>
      </c>
      <c r="K63" s="14">
        <f t="shared" si="13"/>
        <v>46</v>
      </c>
      <c r="L63" s="14" t="str">
        <f>'Customer Segmentation'!F63</f>
        <v>Loyal Customers</v>
      </c>
    </row>
    <row r="64" spans="1:12" ht="15" customHeight="1" x14ac:dyDescent="0.3">
      <c r="A64" s="14" t="str">
        <f>'Customer Response Tracker'!A64</f>
        <v>M060</v>
      </c>
      <c r="B64" s="14">
        <f>'Customer Response Tracker'!F64</f>
        <v>46263</v>
      </c>
      <c r="C64" s="14">
        <f t="shared" si="7"/>
        <v>2</v>
      </c>
      <c r="D64" s="14">
        <f t="shared" si="8"/>
        <v>5</v>
      </c>
      <c r="E64" s="14">
        <f>'Customer Response Tracker'!D64</f>
        <v>5</v>
      </c>
      <c r="F64" s="14">
        <f t="shared" si="9"/>
        <v>4</v>
      </c>
      <c r="G64" s="14">
        <f>'Customer Response Tracker'!H64</f>
        <v>279</v>
      </c>
      <c r="H64" s="14">
        <f t="shared" si="10"/>
        <v>3</v>
      </c>
      <c r="I64" s="14">
        <f t="shared" si="11"/>
        <v>12</v>
      </c>
      <c r="J64" s="14">
        <f t="shared" si="12"/>
        <v>27</v>
      </c>
      <c r="K64" s="14">
        <f t="shared" si="13"/>
        <v>46</v>
      </c>
      <c r="L64" s="14" t="str">
        <f>'Customer Segmentation'!F64</f>
        <v>Loyal Customers</v>
      </c>
    </row>
    <row r="65" spans="1:12" ht="15" customHeight="1" x14ac:dyDescent="0.3">
      <c r="A65" s="14" t="str">
        <f>'Customer Response Tracker'!A65</f>
        <v>M061</v>
      </c>
      <c r="B65" s="14">
        <f>'Customer Response Tracker'!F65</f>
        <v>46225</v>
      </c>
      <c r="C65" s="14">
        <f t="shared" si="7"/>
        <v>40</v>
      </c>
      <c r="D65" s="14">
        <f t="shared" si="8"/>
        <v>2</v>
      </c>
      <c r="E65" s="14">
        <f>'Customer Response Tracker'!D65</f>
        <v>2</v>
      </c>
      <c r="F65" s="14">
        <f t="shared" si="9"/>
        <v>2</v>
      </c>
      <c r="G65" s="14">
        <f>'Customer Response Tracker'!H65</f>
        <v>430</v>
      </c>
      <c r="H65" s="14">
        <f t="shared" si="10"/>
        <v>5</v>
      </c>
      <c r="I65" s="14">
        <f t="shared" si="11"/>
        <v>9</v>
      </c>
      <c r="J65" s="14">
        <f t="shared" si="12"/>
        <v>57</v>
      </c>
      <c r="K65" s="14">
        <f t="shared" si="13"/>
        <v>1</v>
      </c>
      <c r="L65" s="14" t="str">
        <f>'Customer Segmentation'!F65</f>
        <v>At-Risk Customers</v>
      </c>
    </row>
    <row r="66" spans="1:12" ht="15" customHeight="1" x14ac:dyDescent="0.3">
      <c r="A66" s="14" t="str">
        <f>'Customer Response Tracker'!A66</f>
        <v>M062</v>
      </c>
      <c r="B66" s="14">
        <f>'Customer Response Tracker'!F66</f>
        <v>46249</v>
      </c>
      <c r="C66" s="14">
        <f t="shared" si="7"/>
        <v>16</v>
      </c>
      <c r="D66" s="14">
        <f t="shared" si="8"/>
        <v>3</v>
      </c>
      <c r="E66" s="14">
        <f>'Customer Response Tracker'!D66</f>
        <v>5</v>
      </c>
      <c r="F66" s="14">
        <f t="shared" si="9"/>
        <v>4</v>
      </c>
      <c r="G66" s="14">
        <f>'Customer Response Tracker'!H66</f>
        <v>226</v>
      </c>
      <c r="H66" s="14">
        <f t="shared" si="10"/>
        <v>1</v>
      </c>
      <c r="I66" s="14">
        <f t="shared" si="11"/>
        <v>8</v>
      </c>
      <c r="J66" s="14">
        <f t="shared" si="12"/>
        <v>27</v>
      </c>
      <c r="K66" s="14">
        <f t="shared" si="13"/>
        <v>70</v>
      </c>
      <c r="L66" s="14" t="str">
        <f>'Customer Segmentation'!F66</f>
        <v>Inactive / Low Engagement</v>
      </c>
    </row>
    <row r="67" spans="1:12" ht="15" customHeight="1" x14ac:dyDescent="0.3">
      <c r="A67" s="14" t="str">
        <f>'Customer Response Tracker'!A67</f>
        <v>M063</v>
      </c>
      <c r="B67" s="14">
        <f>'Customer Response Tracker'!F67</f>
        <v>46219</v>
      </c>
      <c r="C67" s="14">
        <f t="shared" si="7"/>
        <v>46</v>
      </c>
      <c r="D67" s="14">
        <f t="shared" si="8"/>
        <v>1</v>
      </c>
      <c r="E67" s="14">
        <f>'Customer Response Tracker'!D67</f>
        <v>3</v>
      </c>
      <c r="F67" s="14">
        <f t="shared" si="9"/>
        <v>3</v>
      </c>
      <c r="G67" s="14">
        <f>'Customer Response Tracker'!H67</f>
        <v>392</v>
      </c>
      <c r="H67" s="14">
        <f t="shared" si="10"/>
        <v>5</v>
      </c>
      <c r="I67" s="14">
        <f t="shared" si="11"/>
        <v>9</v>
      </c>
      <c r="J67" s="14">
        <f t="shared" si="12"/>
        <v>46</v>
      </c>
      <c r="K67" s="14">
        <f t="shared" si="13"/>
        <v>10</v>
      </c>
      <c r="L67" s="14" t="str">
        <f>'Customer Segmentation'!F67</f>
        <v>At-Risk Customers</v>
      </c>
    </row>
    <row r="68" spans="1:12" ht="15" customHeight="1" x14ac:dyDescent="0.3">
      <c r="A68" s="14" t="str">
        <f>'Customer Response Tracker'!A68</f>
        <v>M064</v>
      </c>
      <c r="B68" s="14">
        <f>'Customer Response Tracker'!F68</f>
        <v>46239</v>
      </c>
      <c r="C68" s="14">
        <f t="shared" si="7"/>
        <v>26</v>
      </c>
      <c r="D68" s="14">
        <f t="shared" si="8"/>
        <v>3</v>
      </c>
      <c r="E68" s="14">
        <f>'Customer Response Tracker'!D68</f>
        <v>5</v>
      </c>
      <c r="F68" s="14">
        <f t="shared" si="9"/>
        <v>4</v>
      </c>
      <c r="G68" s="14">
        <f>'Customer Response Tracker'!H68</f>
        <v>346</v>
      </c>
      <c r="H68" s="14">
        <f t="shared" si="10"/>
        <v>4</v>
      </c>
      <c r="I68" s="14">
        <f t="shared" si="11"/>
        <v>11</v>
      </c>
      <c r="J68" s="14">
        <f t="shared" si="12"/>
        <v>27</v>
      </c>
      <c r="K68" s="14">
        <f t="shared" si="13"/>
        <v>30</v>
      </c>
      <c r="L68" s="14" t="str">
        <f>'Customer Segmentation'!F68</f>
        <v>Loyal Customers</v>
      </c>
    </row>
    <row r="69" spans="1:12" ht="15" customHeight="1" x14ac:dyDescent="0.3">
      <c r="A69" s="14" t="str">
        <f>'Customer Response Tracker'!A69</f>
        <v>M065</v>
      </c>
      <c r="B69" s="14">
        <f>'Customer Response Tracker'!F69</f>
        <v>46248</v>
      </c>
      <c r="C69" s="14">
        <f t="shared" ref="C69:C84" si="14">$B$2-B69</f>
        <v>17</v>
      </c>
      <c r="D69" s="14">
        <f t="shared" ref="D69:D84" si="15">IF(C69&lt;=7,5,IF(C69&lt;=15,4,IF(C69&lt;=30,3,IF(C69&lt;=45,2,1))))</f>
        <v>3</v>
      </c>
      <c r="E69" s="14">
        <f>'Customer Response Tracker'!D69</f>
        <v>2</v>
      </c>
      <c r="F69" s="14">
        <f t="shared" ref="F69:F84" si="16">5-INT((RANK(E69,$E$5:$E$84,0)-1)/16)</f>
        <v>2</v>
      </c>
      <c r="G69" s="14">
        <f>'Customer Response Tracker'!H69</f>
        <v>351</v>
      </c>
      <c r="H69" s="14">
        <f t="shared" ref="H69:H84" si="17">5-INT((RANK(G69,$G$5:$G$84,0)-1)/16)</f>
        <v>4</v>
      </c>
      <c r="I69" s="14">
        <f t="shared" ref="I69:I84" si="18">D69+F69+H69</f>
        <v>9</v>
      </c>
      <c r="J69" s="14">
        <f t="shared" ref="J69:J84" si="19">RANK(E69,$E$5:$E$84,0)</f>
        <v>57</v>
      </c>
      <c r="K69" s="14">
        <f t="shared" ref="K69:K84" si="20">RANK(G69,$G$5:$G$84,0)</f>
        <v>28</v>
      </c>
      <c r="L69" s="14" t="str">
        <f>'Customer Segmentation'!F69</f>
        <v>Inactive / Low Engagement</v>
      </c>
    </row>
    <row r="70" spans="1:12" ht="15" customHeight="1" x14ac:dyDescent="0.3">
      <c r="A70" s="14" t="str">
        <f>'Customer Response Tracker'!A70</f>
        <v>M066</v>
      </c>
      <c r="B70" s="14">
        <f>'Customer Response Tracker'!F70</f>
        <v>46241</v>
      </c>
      <c r="C70" s="14">
        <f t="shared" si="14"/>
        <v>24</v>
      </c>
      <c r="D70" s="14">
        <f t="shared" si="15"/>
        <v>3</v>
      </c>
      <c r="E70" s="14">
        <f>'Customer Response Tracker'!D70</f>
        <v>8</v>
      </c>
      <c r="F70" s="14">
        <f t="shared" si="16"/>
        <v>5</v>
      </c>
      <c r="G70" s="14">
        <f>'Customer Response Tracker'!H70</f>
        <v>209</v>
      </c>
      <c r="H70" s="14">
        <f t="shared" si="17"/>
        <v>1</v>
      </c>
      <c r="I70" s="14">
        <f t="shared" si="18"/>
        <v>9</v>
      </c>
      <c r="J70" s="14">
        <f t="shared" si="19"/>
        <v>4</v>
      </c>
      <c r="K70" s="14">
        <f t="shared" si="20"/>
        <v>78</v>
      </c>
      <c r="L70" s="14" t="str">
        <f>'Customer Segmentation'!F70</f>
        <v>Inactive / Low Engagement</v>
      </c>
    </row>
    <row r="71" spans="1:12" ht="15" customHeight="1" x14ac:dyDescent="0.3">
      <c r="A71" s="14" t="str">
        <f>'Customer Response Tracker'!A71</f>
        <v>M067</v>
      </c>
      <c r="B71" s="14">
        <f>'Customer Response Tracker'!F71</f>
        <v>46251</v>
      </c>
      <c r="C71" s="14">
        <f t="shared" si="14"/>
        <v>14</v>
      </c>
      <c r="D71" s="14">
        <f t="shared" si="15"/>
        <v>4</v>
      </c>
      <c r="E71" s="14">
        <f>'Customer Response Tracker'!D71</f>
        <v>8</v>
      </c>
      <c r="F71" s="14">
        <f t="shared" si="16"/>
        <v>5</v>
      </c>
      <c r="G71" s="14">
        <f>'Customer Response Tracker'!H71</f>
        <v>363</v>
      </c>
      <c r="H71" s="14">
        <f t="shared" si="17"/>
        <v>4</v>
      </c>
      <c r="I71" s="14">
        <f t="shared" si="18"/>
        <v>13</v>
      </c>
      <c r="J71" s="14">
        <f t="shared" si="19"/>
        <v>4</v>
      </c>
      <c r="K71" s="14">
        <f t="shared" si="20"/>
        <v>21</v>
      </c>
      <c r="L71" s="14" t="str">
        <f>'Customer Segmentation'!F71</f>
        <v>Champions / Highly Loyal</v>
      </c>
    </row>
    <row r="72" spans="1:12" ht="15" customHeight="1" x14ac:dyDescent="0.3">
      <c r="A72" s="14" t="str">
        <f>'Customer Response Tracker'!A72</f>
        <v>M068</v>
      </c>
      <c r="B72" s="14">
        <f>'Customer Response Tracker'!F72</f>
        <v>46238</v>
      </c>
      <c r="C72" s="14">
        <f t="shared" si="14"/>
        <v>27</v>
      </c>
      <c r="D72" s="14">
        <f t="shared" si="15"/>
        <v>3</v>
      </c>
      <c r="E72" s="14">
        <f>'Customer Response Tracker'!D72</f>
        <v>8</v>
      </c>
      <c r="F72" s="14">
        <f t="shared" si="16"/>
        <v>5</v>
      </c>
      <c r="G72" s="14">
        <f>'Customer Response Tracker'!H72</f>
        <v>210</v>
      </c>
      <c r="H72" s="14">
        <f t="shared" si="17"/>
        <v>1</v>
      </c>
      <c r="I72" s="14">
        <f t="shared" si="18"/>
        <v>9</v>
      </c>
      <c r="J72" s="14">
        <f t="shared" si="19"/>
        <v>4</v>
      </c>
      <c r="K72" s="14">
        <f t="shared" si="20"/>
        <v>76</v>
      </c>
      <c r="L72" s="14" t="str">
        <f>'Customer Segmentation'!F72</f>
        <v>Inactive / Low Engagement</v>
      </c>
    </row>
    <row r="73" spans="1:12" ht="15" customHeight="1" x14ac:dyDescent="0.3">
      <c r="A73" s="14" t="str">
        <f>'Customer Response Tracker'!A73</f>
        <v>M069</v>
      </c>
      <c r="B73" s="14">
        <f>'Customer Response Tracker'!F73</f>
        <v>46261</v>
      </c>
      <c r="C73" s="14">
        <f t="shared" si="14"/>
        <v>4</v>
      </c>
      <c r="D73" s="14">
        <f t="shared" si="15"/>
        <v>5</v>
      </c>
      <c r="E73" s="14">
        <f>'Customer Response Tracker'!D73</f>
        <v>7</v>
      </c>
      <c r="F73" s="14">
        <f t="shared" si="16"/>
        <v>5</v>
      </c>
      <c r="G73" s="14">
        <f>'Customer Response Tracker'!H73</f>
        <v>309</v>
      </c>
      <c r="H73" s="14">
        <f t="shared" si="17"/>
        <v>3</v>
      </c>
      <c r="I73" s="14">
        <f t="shared" si="18"/>
        <v>13</v>
      </c>
      <c r="J73" s="14">
        <f t="shared" si="19"/>
        <v>11</v>
      </c>
      <c r="K73" s="14">
        <f t="shared" si="20"/>
        <v>39</v>
      </c>
      <c r="L73" s="14" t="str">
        <f>'Customer Segmentation'!F73</f>
        <v>Loyal Customers</v>
      </c>
    </row>
    <row r="74" spans="1:12" ht="15" customHeight="1" x14ac:dyDescent="0.3">
      <c r="A74" s="14" t="str">
        <f>'Customer Response Tracker'!A74</f>
        <v>M070</v>
      </c>
      <c r="B74" s="14">
        <f>'Customer Response Tracker'!F74</f>
        <v>46212</v>
      </c>
      <c r="C74" s="14">
        <f t="shared" si="14"/>
        <v>53</v>
      </c>
      <c r="D74" s="14">
        <f t="shared" si="15"/>
        <v>1</v>
      </c>
      <c r="E74" s="14">
        <f>'Customer Response Tracker'!D74</f>
        <v>2</v>
      </c>
      <c r="F74" s="14">
        <f t="shared" si="16"/>
        <v>2</v>
      </c>
      <c r="G74" s="14">
        <f>'Customer Response Tracker'!H74</f>
        <v>297</v>
      </c>
      <c r="H74" s="14">
        <f t="shared" si="17"/>
        <v>3</v>
      </c>
      <c r="I74" s="14">
        <f t="shared" si="18"/>
        <v>6</v>
      </c>
      <c r="J74" s="14">
        <f t="shared" si="19"/>
        <v>57</v>
      </c>
      <c r="K74" s="14">
        <f t="shared" si="20"/>
        <v>41</v>
      </c>
      <c r="L74" s="14" t="str">
        <f>'Customer Segmentation'!F74</f>
        <v>At-Risk Customers</v>
      </c>
    </row>
    <row r="75" spans="1:12" ht="15" customHeight="1" x14ac:dyDescent="0.3">
      <c r="A75" s="14" t="str">
        <f>'Customer Response Tracker'!A75</f>
        <v>M071</v>
      </c>
      <c r="B75" s="14">
        <f>'Customer Response Tracker'!F75</f>
        <v>46255</v>
      </c>
      <c r="C75" s="14">
        <f t="shared" si="14"/>
        <v>10</v>
      </c>
      <c r="D75" s="14">
        <f t="shared" si="15"/>
        <v>4</v>
      </c>
      <c r="E75" s="14">
        <f>'Customer Response Tracker'!D75</f>
        <v>9</v>
      </c>
      <c r="F75" s="14">
        <f t="shared" si="16"/>
        <v>5</v>
      </c>
      <c r="G75" s="14">
        <f>'Customer Response Tracker'!H75</f>
        <v>262</v>
      </c>
      <c r="H75" s="14">
        <f t="shared" si="17"/>
        <v>2</v>
      </c>
      <c r="I75" s="14">
        <f t="shared" si="18"/>
        <v>11</v>
      </c>
      <c r="J75" s="14">
        <f t="shared" si="19"/>
        <v>3</v>
      </c>
      <c r="K75" s="14">
        <f t="shared" si="20"/>
        <v>54</v>
      </c>
      <c r="L75" s="14" t="str">
        <f>'Customer Segmentation'!F75</f>
        <v>Potential Loyalists</v>
      </c>
    </row>
    <row r="76" spans="1:12" ht="15" customHeight="1" x14ac:dyDescent="0.3">
      <c r="A76" s="14" t="str">
        <f>'Customer Response Tracker'!A76</f>
        <v>M072</v>
      </c>
      <c r="B76" s="14">
        <f>'Customer Response Tracker'!F76</f>
        <v>46251</v>
      </c>
      <c r="C76" s="14">
        <f t="shared" si="14"/>
        <v>14</v>
      </c>
      <c r="D76" s="14">
        <f t="shared" si="15"/>
        <v>4</v>
      </c>
      <c r="E76" s="14">
        <f>'Customer Response Tracker'!D76</f>
        <v>8</v>
      </c>
      <c r="F76" s="14">
        <f t="shared" si="16"/>
        <v>5</v>
      </c>
      <c r="G76" s="14">
        <f>'Customer Response Tracker'!H76</f>
        <v>266</v>
      </c>
      <c r="H76" s="14">
        <f t="shared" si="17"/>
        <v>2</v>
      </c>
      <c r="I76" s="14">
        <f t="shared" si="18"/>
        <v>11</v>
      </c>
      <c r="J76" s="14">
        <f t="shared" si="19"/>
        <v>4</v>
      </c>
      <c r="K76" s="14">
        <f t="shared" si="20"/>
        <v>52</v>
      </c>
      <c r="L76" s="14" t="str">
        <f>'Customer Segmentation'!F76</f>
        <v>Potential Loyalists</v>
      </c>
    </row>
    <row r="77" spans="1:12" ht="15" customHeight="1" x14ac:dyDescent="0.3">
      <c r="A77" s="14" t="str">
        <f>'Customer Response Tracker'!A77</f>
        <v>M073</v>
      </c>
      <c r="B77" s="14">
        <f>'Customer Response Tracker'!F77</f>
        <v>46244</v>
      </c>
      <c r="C77" s="14">
        <f t="shared" si="14"/>
        <v>21</v>
      </c>
      <c r="D77" s="14">
        <f t="shared" si="15"/>
        <v>3</v>
      </c>
      <c r="E77" s="14">
        <f>'Customer Response Tracker'!D77</f>
        <v>4</v>
      </c>
      <c r="F77" s="14">
        <f t="shared" si="16"/>
        <v>3</v>
      </c>
      <c r="G77" s="14">
        <f>'Customer Response Tracker'!H77</f>
        <v>359</v>
      </c>
      <c r="H77" s="14">
        <f t="shared" si="17"/>
        <v>4</v>
      </c>
      <c r="I77" s="14">
        <f t="shared" si="18"/>
        <v>10</v>
      </c>
      <c r="J77" s="14">
        <f t="shared" si="19"/>
        <v>39</v>
      </c>
      <c r="K77" s="14">
        <f t="shared" si="20"/>
        <v>24</v>
      </c>
      <c r="L77" s="14" t="str">
        <f>'Customer Segmentation'!F77</f>
        <v>Loyal Customers</v>
      </c>
    </row>
    <row r="78" spans="1:12" ht="15" customHeight="1" x14ac:dyDescent="0.3">
      <c r="A78" s="14" t="str">
        <f>'Customer Response Tracker'!A78</f>
        <v>M074</v>
      </c>
      <c r="B78" s="14">
        <f>'Customer Response Tracker'!F78</f>
        <v>46239</v>
      </c>
      <c r="C78" s="14">
        <f t="shared" si="14"/>
        <v>26</v>
      </c>
      <c r="D78" s="14">
        <f t="shared" si="15"/>
        <v>3</v>
      </c>
      <c r="E78" s="14">
        <f>'Customer Response Tracker'!D78</f>
        <v>6</v>
      </c>
      <c r="F78" s="14">
        <f t="shared" si="16"/>
        <v>4</v>
      </c>
      <c r="G78" s="14">
        <f>'Customer Response Tracker'!H78</f>
        <v>241</v>
      </c>
      <c r="H78" s="14">
        <f t="shared" si="17"/>
        <v>1</v>
      </c>
      <c r="I78" s="14">
        <f t="shared" si="18"/>
        <v>8</v>
      </c>
      <c r="J78" s="14">
        <f t="shared" si="19"/>
        <v>18</v>
      </c>
      <c r="K78" s="14">
        <f t="shared" si="20"/>
        <v>65</v>
      </c>
      <c r="L78" s="14" t="str">
        <f>'Customer Segmentation'!F78</f>
        <v>Inactive / Low Engagement</v>
      </c>
    </row>
    <row r="79" spans="1:12" ht="15" customHeight="1" x14ac:dyDescent="0.3">
      <c r="A79" s="14" t="str">
        <f>'Customer Response Tracker'!A79</f>
        <v>M075</v>
      </c>
      <c r="B79" s="14">
        <f>'Customer Response Tracker'!F79</f>
        <v>46251</v>
      </c>
      <c r="C79" s="14">
        <f t="shared" si="14"/>
        <v>14</v>
      </c>
      <c r="D79" s="14">
        <f t="shared" si="15"/>
        <v>4</v>
      </c>
      <c r="E79" s="14">
        <f>'Customer Response Tracker'!D79</f>
        <v>2</v>
      </c>
      <c r="F79" s="14">
        <f t="shared" si="16"/>
        <v>2</v>
      </c>
      <c r="G79" s="14">
        <f>'Customer Response Tracker'!H79</f>
        <v>357</v>
      </c>
      <c r="H79" s="14">
        <f t="shared" si="17"/>
        <v>4</v>
      </c>
      <c r="I79" s="14">
        <f t="shared" si="18"/>
        <v>10</v>
      </c>
      <c r="J79" s="14">
        <f t="shared" si="19"/>
        <v>57</v>
      </c>
      <c r="K79" s="14">
        <f t="shared" si="20"/>
        <v>25</v>
      </c>
      <c r="L79" s="14" t="str">
        <f>'Customer Segmentation'!F79</f>
        <v>Potential Loyalists</v>
      </c>
    </row>
    <row r="80" spans="1:12" ht="15" customHeight="1" x14ac:dyDescent="0.3">
      <c r="A80" s="14" t="str">
        <f>'Customer Response Tracker'!A80</f>
        <v>M076</v>
      </c>
      <c r="B80" s="14">
        <f>'Customer Response Tracker'!F80</f>
        <v>46240</v>
      </c>
      <c r="C80" s="14">
        <f t="shared" si="14"/>
        <v>25</v>
      </c>
      <c r="D80" s="14">
        <f t="shared" si="15"/>
        <v>3</v>
      </c>
      <c r="E80" s="14">
        <f>'Customer Response Tracker'!D80</f>
        <v>5</v>
      </c>
      <c r="F80" s="14">
        <f t="shared" si="16"/>
        <v>4</v>
      </c>
      <c r="G80" s="14">
        <f>'Customer Response Tracker'!H80</f>
        <v>320</v>
      </c>
      <c r="H80" s="14">
        <f t="shared" si="17"/>
        <v>3</v>
      </c>
      <c r="I80" s="14">
        <f t="shared" si="18"/>
        <v>10</v>
      </c>
      <c r="J80" s="14">
        <f t="shared" si="19"/>
        <v>27</v>
      </c>
      <c r="K80" s="14">
        <f t="shared" si="20"/>
        <v>35</v>
      </c>
      <c r="L80" s="14" t="str">
        <f>'Customer Segmentation'!F80</f>
        <v>Loyal Customers</v>
      </c>
    </row>
    <row r="81" spans="1:12" ht="15" customHeight="1" x14ac:dyDescent="0.3">
      <c r="A81" s="14" t="str">
        <f>'Customer Response Tracker'!A81</f>
        <v>M077</v>
      </c>
      <c r="B81" s="14">
        <f>'Customer Response Tracker'!F81</f>
        <v>46214</v>
      </c>
      <c r="C81" s="14">
        <f t="shared" si="14"/>
        <v>51</v>
      </c>
      <c r="D81" s="14">
        <f t="shared" si="15"/>
        <v>1</v>
      </c>
      <c r="E81" s="14">
        <f>'Customer Response Tracker'!D81</f>
        <v>2</v>
      </c>
      <c r="F81" s="14">
        <f t="shared" si="16"/>
        <v>2</v>
      </c>
      <c r="G81" s="14">
        <f>'Customer Response Tracker'!H81</f>
        <v>260</v>
      </c>
      <c r="H81" s="14">
        <f t="shared" si="17"/>
        <v>2</v>
      </c>
      <c r="I81" s="14">
        <f t="shared" si="18"/>
        <v>5</v>
      </c>
      <c r="J81" s="14">
        <f t="shared" si="19"/>
        <v>57</v>
      </c>
      <c r="K81" s="14">
        <f t="shared" si="20"/>
        <v>55</v>
      </c>
      <c r="L81" s="14" t="str">
        <f>'Customer Segmentation'!F81</f>
        <v>At-Risk Customers</v>
      </c>
    </row>
    <row r="82" spans="1:12" ht="15" customHeight="1" x14ac:dyDescent="0.3">
      <c r="A82" s="14" t="str">
        <f>'Customer Response Tracker'!A82</f>
        <v>M078</v>
      </c>
      <c r="B82" s="14">
        <f>'Customer Response Tracker'!F82</f>
        <v>46245</v>
      </c>
      <c r="C82" s="14">
        <f t="shared" si="14"/>
        <v>20</v>
      </c>
      <c r="D82" s="14">
        <f t="shared" si="15"/>
        <v>3</v>
      </c>
      <c r="E82" s="14">
        <f>'Customer Response Tracker'!D82</f>
        <v>5</v>
      </c>
      <c r="F82" s="14">
        <f t="shared" si="16"/>
        <v>4</v>
      </c>
      <c r="G82" s="14">
        <f>'Customer Response Tracker'!H82</f>
        <v>374</v>
      </c>
      <c r="H82" s="14">
        <f t="shared" si="17"/>
        <v>5</v>
      </c>
      <c r="I82" s="14">
        <f t="shared" si="18"/>
        <v>12</v>
      </c>
      <c r="J82" s="14">
        <f t="shared" si="19"/>
        <v>27</v>
      </c>
      <c r="K82" s="14">
        <f t="shared" si="20"/>
        <v>15</v>
      </c>
      <c r="L82" s="14" t="str">
        <f>'Customer Segmentation'!F82</f>
        <v>Loyal Customers</v>
      </c>
    </row>
    <row r="83" spans="1:12" ht="15" customHeight="1" x14ac:dyDescent="0.3">
      <c r="A83" s="14" t="str">
        <f>'Customer Response Tracker'!A83</f>
        <v>M079</v>
      </c>
      <c r="B83" s="14">
        <f>'Customer Response Tracker'!F83</f>
        <v>46263</v>
      </c>
      <c r="C83" s="14">
        <f t="shared" si="14"/>
        <v>2</v>
      </c>
      <c r="D83" s="14">
        <f t="shared" si="15"/>
        <v>5</v>
      </c>
      <c r="E83" s="14">
        <f>'Customer Response Tracker'!D83</f>
        <v>2</v>
      </c>
      <c r="F83" s="14">
        <f t="shared" si="16"/>
        <v>2</v>
      </c>
      <c r="G83" s="14">
        <f>'Customer Response Tracker'!H83</f>
        <v>361</v>
      </c>
      <c r="H83" s="14">
        <f t="shared" si="17"/>
        <v>4</v>
      </c>
      <c r="I83" s="14">
        <f t="shared" si="18"/>
        <v>11</v>
      </c>
      <c r="J83" s="14">
        <f t="shared" si="19"/>
        <v>57</v>
      </c>
      <c r="K83" s="14">
        <f t="shared" si="20"/>
        <v>22</v>
      </c>
      <c r="L83" s="14" t="str">
        <f>'Customer Segmentation'!F83</f>
        <v>Potential Loyalists</v>
      </c>
    </row>
    <row r="84" spans="1:12" ht="15" customHeight="1" x14ac:dyDescent="0.3">
      <c r="A84" s="14" t="str">
        <f>'Customer Response Tracker'!A84</f>
        <v>M080</v>
      </c>
      <c r="B84" s="14">
        <f>'Customer Response Tracker'!F84</f>
        <v>46239</v>
      </c>
      <c r="C84" s="14">
        <f t="shared" si="14"/>
        <v>26</v>
      </c>
      <c r="D84" s="14">
        <f t="shared" si="15"/>
        <v>3</v>
      </c>
      <c r="E84" s="14">
        <f>'Customer Response Tracker'!D84</f>
        <v>10</v>
      </c>
      <c r="F84" s="14">
        <f t="shared" si="16"/>
        <v>5</v>
      </c>
      <c r="G84" s="14">
        <f>'Customer Response Tracker'!H84</f>
        <v>305</v>
      </c>
      <c r="H84" s="14">
        <f t="shared" si="17"/>
        <v>3</v>
      </c>
      <c r="I84" s="14">
        <f t="shared" si="18"/>
        <v>11</v>
      </c>
      <c r="J84" s="14">
        <f t="shared" si="19"/>
        <v>1</v>
      </c>
      <c r="K84" s="14">
        <f t="shared" si="20"/>
        <v>40</v>
      </c>
      <c r="L84" s="14" t="str">
        <f>'Customer Segmentation'!F84</f>
        <v>Loyal Customers</v>
      </c>
    </row>
    <row r="85" spans="1:12" ht="1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7" spans="1:12" ht="15" customHeight="1" x14ac:dyDescent="0.3">
      <c r="A87" s="16" t="s">
        <v>184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spans="1:12" ht="15" customHeight="1" x14ac:dyDescent="0.3">
      <c r="A88" s="30" t="s">
        <v>185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</row>
    <row r="89" spans="1:12" ht="15" customHeight="1" x14ac:dyDescent="0.3">
      <c r="A89" s="30" t="s">
        <v>186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</row>
    <row r="90" spans="1:12" ht="15" customHeight="1" x14ac:dyDescent="0.3">
      <c r="A90" s="30" t="s">
        <v>187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</row>
  </sheetData>
  <mergeCells count="4">
    <mergeCell ref="A90:L90"/>
    <mergeCell ref="A89:L89"/>
    <mergeCell ref="A88:L88"/>
    <mergeCell ref="A1:L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93"/>
  <sheetViews>
    <sheetView showGridLines="0" zoomScaleNormal="100" workbookViewId="0">
      <pane ySplit="4" topLeftCell="A5" activePane="bottomLeft" state="frozen"/>
      <selection pane="bottomLeft" activeCell="F91" sqref="F91"/>
    </sheetView>
  </sheetViews>
  <sheetFormatPr defaultColWidth="8.6640625" defaultRowHeight="15" customHeight="1" x14ac:dyDescent="0.3"/>
  <cols>
    <col min="1" max="1" width="14" customWidth="1"/>
    <col min="2" max="2" width="12" customWidth="1"/>
    <col min="3" max="5" width="10" customWidth="1"/>
    <col min="6" max="6" width="28" customWidth="1"/>
    <col min="7" max="8" width="42" customWidth="1"/>
  </cols>
  <sheetData>
    <row r="1" spans="1:8" ht="27.75" customHeight="1" x14ac:dyDescent="0.3">
      <c r="A1" s="26" t="s">
        <v>188</v>
      </c>
      <c r="B1" s="27"/>
      <c r="C1" s="27"/>
      <c r="D1" s="27"/>
      <c r="E1" s="27"/>
      <c r="F1" s="27"/>
      <c r="G1" s="27"/>
      <c r="H1" s="27"/>
    </row>
    <row r="2" spans="1:8" ht="15" customHeight="1" x14ac:dyDescent="0.3">
      <c r="A2" s="31" t="s">
        <v>189</v>
      </c>
      <c r="B2" s="31"/>
      <c r="C2" s="31"/>
      <c r="D2" s="31"/>
      <c r="E2" s="31"/>
      <c r="F2" s="31"/>
      <c r="G2" s="31"/>
      <c r="H2" s="31"/>
    </row>
    <row r="3" spans="1:8" ht="15" customHeight="1" x14ac:dyDescent="0.3">
      <c r="A3" s="9"/>
      <c r="B3" s="9"/>
      <c r="C3" s="9"/>
      <c r="D3" s="9"/>
      <c r="E3" s="9"/>
      <c r="F3" s="9"/>
      <c r="G3" s="9"/>
      <c r="H3" s="9"/>
    </row>
    <row r="4" spans="1:8" ht="15" customHeight="1" x14ac:dyDescent="0.3">
      <c r="A4" s="13" t="s">
        <v>23</v>
      </c>
      <c r="B4" s="13" t="s">
        <v>180</v>
      </c>
      <c r="C4" s="13" t="s">
        <v>176</v>
      </c>
      <c r="D4" s="13" t="s">
        <v>177</v>
      </c>
      <c r="E4" s="13" t="s">
        <v>179</v>
      </c>
      <c r="F4" s="13" t="s">
        <v>190</v>
      </c>
      <c r="G4" s="13" t="s">
        <v>191</v>
      </c>
      <c r="H4" s="13" t="s">
        <v>192</v>
      </c>
    </row>
    <row r="5" spans="1:8" ht="15" customHeight="1" x14ac:dyDescent="0.3">
      <c r="A5" s="11" t="str">
        <f>'RFM Analysis'!A5</f>
        <v>M001</v>
      </c>
      <c r="B5" s="11">
        <f>'RFM Analysis'!I5</f>
        <v>13</v>
      </c>
      <c r="C5" s="11">
        <f>'RFM Analysis'!D5</f>
        <v>5</v>
      </c>
      <c r="D5" s="11">
        <f>'RFM Analysis'!F5</f>
        <v>4</v>
      </c>
      <c r="E5" s="11">
        <f>'RFM Analysis'!H5</f>
        <v>4</v>
      </c>
      <c r="F5" s="11" t="str">
        <f>IF(AND(C5&gt;=4,D5&gt;=4,E5&gt;=4),"Champions / Highly Loyal",IF(AND(C5&gt;=3,D5&gt;=3,E5&gt;=3),"Loyal Customers",IF(AND(C5&lt;=2,OR(D5&gt;=3,E5&gt;=3,'Customer Response Tracker'!J5="Yes")),"At-Risk Customers",IF(C5&gt;=4,"Potential Loyalists","Inactive / Low Engagement"))))</f>
        <v>Champions / Highly Loyal</v>
      </c>
      <c r="G5" s="11" t="str">
        <f t="shared" ref="G5:G36" si="0">IF(F5="Champions / Highly Loyal","R, F and M all ≥4",IF(F5="Loyal Customers","R, F and M all ≥3, but not Champion",IF(F5="At-Risk Customers","R≤2 and F≥3 or M≥3 or self-reported decline","Remaining customer group")))</f>
        <v>R, F and M all ≥4</v>
      </c>
      <c r="H5" s="11" t="str">
        <f t="shared" ref="H5:H36" si="1">IF(F5="Champions / Highly Loyal","Advocacy, recognition and premium loyalty",IF(F5="Loyal Customers","Cross-sell, bundles and loyalty",IF(F5="Potential Loyalists","Build frequency and basket size",IF(F5="At-Risk Customers","Personalized win-back and service recovery","Low-cost reactivation / selective offers"))))</f>
        <v>Advocacy, recognition and premium loyalty</v>
      </c>
    </row>
    <row r="6" spans="1:8" ht="15" customHeight="1" x14ac:dyDescent="0.3">
      <c r="A6" s="11" t="str">
        <f>'RFM Analysis'!A6</f>
        <v>M002</v>
      </c>
      <c r="B6" s="11">
        <f>'RFM Analysis'!I6</f>
        <v>7</v>
      </c>
      <c r="C6" s="11">
        <f>'RFM Analysis'!D6</f>
        <v>5</v>
      </c>
      <c r="D6" s="11">
        <f>'RFM Analysis'!F6</f>
        <v>1</v>
      </c>
      <c r="E6" s="11">
        <f>'RFM Analysis'!H6</f>
        <v>1</v>
      </c>
      <c r="F6" s="11" t="str">
        <f>IF(AND(C6&gt;=4,D6&gt;=4,E6&gt;=4),"Champions / Highly Loyal",IF(AND(C6&gt;=3,D6&gt;=3,E6&gt;=3),"Loyal Customers",IF(AND(C6&lt;=2,OR(D6&gt;=3,E6&gt;=3,'Customer Response Tracker'!J6="Yes")),"At-Risk Customers",IF(C6&gt;=4,"Potential Loyalists","Inactive / Low Engagement"))))</f>
        <v>Potential Loyalists</v>
      </c>
      <c r="G6" s="11" t="str">
        <f t="shared" si="0"/>
        <v>Remaining customer group</v>
      </c>
      <c r="H6" s="11" t="str">
        <f t="shared" si="1"/>
        <v>Build frequency and basket size</v>
      </c>
    </row>
    <row r="7" spans="1:8" ht="15" customHeight="1" x14ac:dyDescent="0.3">
      <c r="A7" s="11" t="str">
        <f>'RFM Analysis'!A7</f>
        <v>M003</v>
      </c>
      <c r="B7" s="11">
        <f>'RFM Analysis'!I7</f>
        <v>8</v>
      </c>
      <c r="C7" s="11">
        <f>'RFM Analysis'!D7</f>
        <v>2</v>
      </c>
      <c r="D7" s="11">
        <f>'RFM Analysis'!F7</f>
        <v>1</v>
      </c>
      <c r="E7" s="11">
        <f>'RFM Analysis'!H7</f>
        <v>5</v>
      </c>
      <c r="F7" s="11" t="str">
        <f>IF(AND(C7&gt;=4,D7&gt;=4,E7&gt;=4),"Champions / Highly Loyal",IF(AND(C7&gt;=3,D7&gt;=3,E7&gt;=3),"Loyal Customers",IF(AND(C7&lt;=2,OR(D7&gt;=3,E7&gt;=3,'Customer Response Tracker'!J7="Yes")),"At-Risk Customers",IF(C7&gt;=4,"Potential Loyalists","Inactive / Low Engagement"))))</f>
        <v>At-Risk Customers</v>
      </c>
      <c r="G7" s="11" t="str">
        <f t="shared" si="0"/>
        <v>R≤2 and F≥3 or M≥3 or self-reported decline</v>
      </c>
      <c r="H7" s="11" t="str">
        <f t="shared" si="1"/>
        <v>Personalized win-back and service recovery</v>
      </c>
    </row>
    <row r="8" spans="1:8" ht="15" customHeight="1" x14ac:dyDescent="0.3">
      <c r="A8" s="11" t="str">
        <f>'RFM Analysis'!A8</f>
        <v>M004</v>
      </c>
      <c r="B8" s="11">
        <f>'RFM Analysis'!I8</f>
        <v>9</v>
      </c>
      <c r="C8" s="11">
        <f>'RFM Analysis'!D8</f>
        <v>4</v>
      </c>
      <c r="D8" s="11">
        <f>'RFM Analysis'!F8</f>
        <v>4</v>
      </c>
      <c r="E8" s="11">
        <f>'RFM Analysis'!H8</f>
        <v>1</v>
      </c>
      <c r="F8" s="11" t="str">
        <f>IF(AND(C8&gt;=4,D8&gt;=4,E8&gt;=4),"Champions / Highly Loyal",IF(AND(C8&gt;=3,D8&gt;=3,E8&gt;=3),"Loyal Customers",IF(AND(C8&lt;=2,OR(D8&gt;=3,E8&gt;=3,'Customer Response Tracker'!J8="Yes")),"At-Risk Customers",IF(C8&gt;=4,"Potential Loyalists","Inactive / Low Engagement"))))</f>
        <v>Potential Loyalists</v>
      </c>
      <c r="G8" s="11" t="str">
        <f t="shared" si="0"/>
        <v>Remaining customer group</v>
      </c>
      <c r="H8" s="11" t="str">
        <f t="shared" si="1"/>
        <v>Build frequency and basket size</v>
      </c>
    </row>
    <row r="9" spans="1:8" ht="15" customHeight="1" x14ac:dyDescent="0.3">
      <c r="A9" s="11" t="str">
        <f>'RFM Analysis'!A9</f>
        <v>M005</v>
      </c>
      <c r="B9" s="11">
        <f>'RFM Analysis'!I9</f>
        <v>9</v>
      </c>
      <c r="C9" s="11">
        <f>'RFM Analysis'!D9</f>
        <v>2</v>
      </c>
      <c r="D9" s="11">
        <f>'RFM Analysis'!F9</f>
        <v>2</v>
      </c>
      <c r="E9" s="11">
        <f>'RFM Analysis'!H9</f>
        <v>5</v>
      </c>
      <c r="F9" s="11" t="str">
        <f>IF(AND(C9&gt;=4,D9&gt;=4,E9&gt;=4),"Champions / Highly Loyal",IF(AND(C9&gt;=3,D9&gt;=3,E9&gt;=3),"Loyal Customers",IF(AND(C9&lt;=2,OR(D9&gt;=3,E9&gt;=3,'Customer Response Tracker'!J9="Yes")),"At-Risk Customers",IF(C9&gt;=4,"Potential Loyalists","Inactive / Low Engagement"))))</f>
        <v>At-Risk Customers</v>
      </c>
      <c r="G9" s="11" t="str">
        <f t="shared" si="0"/>
        <v>R≤2 and F≥3 or M≥3 or self-reported decline</v>
      </c>
      <c r="H9" s="11" t="str">
        <f t="shared" si="1"/>
        <v>Personalized win-back and service recovery</v>
      </c>
    </row>
    <row r="10" spans="1:8" ht="15" customHeight="1" x14ac:dyDescent="0.3">
      <c r="A10" s="11" t="str">
        <f>'RFM Analysis'!A10</f>
        <v>M006</v>
      </c>
      <c r="B10" s="11">
        <f>'RFM Analysis'!I10</f>
        <v>12</v>
      </c>
      <c r="C10" s="11">
        <f>'RFM Analysis'!D10</f>
        <v>4</v>
      </c>
      <c r="D10" s="11">
        <f>'RFM Analysis'!F10</f>
        <v>3</v>
      </c>
      <c r="E10" s="11">
        <f>'RFM Analysis'!H10</f>
        <v>5</v>
      </c>
      <c r="F10" s="11" t="str">
        <f>IF(AND(C10&gt;=4,D10&gt;=4,E10&gt;=4),"Champions / Highly Loyal",IF(AND(C10&gt;=3,D10&gt;=3,E10&gt;=3),"Loyal Customers",IF(AND(C10&lt;=2,OR(D10&gt;=3,E10&gt;=3,'Customer Response Tracker'!J10="Yes")),"At-Risk Customers",IF(C10&gt;=4,"Potential Loyalists","Inactive / Low Engagement"))))</f>
        <v>Loyal Customers</v>
      </c>
      <c r="G10" s="11" t="str">
        <f t="shared" si="0"/>
        <v>R, F and M all ≥3, but not Champion</v>
      </c>
      <c r="H10" s="11" t="str">
        <f t="shared" si="1"/>
        <v>Cross-sell, bundles and loyalty</v>
      </c>
    </row>
    <row r="11" spans="1:8" ht="15" customHeight="1" x14ac:dyDescent="0.3">
      <c r="A11" s="11" t="str">
        <f>'RFM Analysis'!A11</f>
        <v>M007</v>
      </c>
      <c r="B11" s="11">
        <f>'RFM Analysis'!I11</f>
        <v>10</v>
      </c>
      <c r="C11" s="11">
        <f>'RFM Analysis'!D11</f>
        <v>3</v>
      </c>
      <c r="D11" s="11">
        <f>'RFM Analysis'!F11</f>
        <v>5</v>
      </c>
      <c r="E11" s="11">
        <f>'RFM Analysis'!H11</f>
        <v>2</v>
      </c>
      <c r="F11" s="11" t="str">
        <f>IF(AND(C11&gt;=4,D11&gt;=4,E11&gt;=4),"Champions / Highly Loyal",IF(AND(C11&gt;=3,D11&gt;=3,E11&gt;=3),"Loyal Customers",IF(AND(C11&lt;=2,OR(D11&gt;=3,E11&gt;=3,'Customer Response Tracker'!J11="Yes")),"At-Risk Customers",IF(C11&gt;=4,"Potential Loyalists","Inactive / Low Engagement"))))</f>
        <v>Inactive / Low Engagement</v>
      </c>
      <c r="G11" s="11" t="str">
        <f t="shared" si="0"/>
        <v>Remaining customer group</v>
      </c>
      <c r="H11" s="11" t="str">
        <f t="shared" si="1"/>
        <v>Low-cost reactivation / selective offers</v>
      </c>
    </row>
    <row r="12" spans="1:8" ht="15" customHeight="1" x14ac:dyDescent="0.3">
      <c r="A12" s="11" t="str">
        <f>'RFM Analysis'!A12</f>
        <v>M008</v>
      </c>
      <c r="B12" s="11">
        <f>'RFM Analysis'!I12</f>
        <v>4</v>
      </c>
      <c r="C12" s="11">
        <f>'RFM Analysis'!D12</f>
        <v>2</v>
      </c>
      <c r="D12" s="11">
        <f>'RFM Analysis'!F12</f>
        <v>1</v>
      </c>
      <c r="E12" s="11">
        <f>'RFM Analysis'!H12</f>
        <v>1</v>
      </c>
      <c r="F12" s="11" t="str">
        <f>IF(AND(C12&gt;=4,D12&gt;=4,E12&gt;=4),"Champions / Highly Loyal",IF(AND(C12&gt;=3,D12&gt;=3,E12&gt;=3),"Loyal Customers",IF(AND(C12&lt;=2,OR(D12&gt;=3,E12&gt;=3,'Customer Response Tracker'!J12="Yes")),"At-Risk Customers",IF(C12&gt;=4,"Potential Loyalists","Inactive / Low Engagement"))))</f>
        <v>At-Risk Customers</v>
      </c>
      <c r="G12" s="11" t="str">
        <f t="shared" si="0"/>
        <v>R≤2 and F≥3 or M≥3 or self-reported decline</v>
      </c>
      <c r="H12" s="11" t="str">
        <f t="shared" si="1"/>
        <v>Personalized win-back and service recovery</v>
      </c>
    </row>
    <row r="13" spans="1:8" ht="15" customHeight="1" x14ac:dyDescent="0.3">
      <c r="A13" s="11" t="str">
        <f>'RFM Analysis'!A13</f>
        <v>M009</v>
      </c>
      <c r="B13" s="11">
        <f>'RFM Analysis'!I13</f>
        <v>10</v>
      </c>
      <c r="C13" s="11">
        <f>'RFM Analysis'!D13</f>
        <v>4</v>
      </c>
      <c r="D13" s="11">
        <f>'RFM Analysis'!F13</f>
        <v>3</v>
      </c>
      <c r="E13" s="11">
        <f>'RFM Analysis'!H13</f>
        <v>3</v>
      </c>
      <c r="F13" s="11" t="str">
        <f>IF(AND(C13&gt;=4,D13&gt;=4,E13&gt;=4),"Champions / Highly Loyal",IF(AND(C13&gt;=3,D13&gt;=3,E13&gt;=3),"Loyal Customers",IF(AND(C13&lt;=2,OR(D13&gt;=3,E13&gt;=3,'Customer Response Tracker'!J13="Yes")),"At-Risk Customers",IF(C13&gt;=4,"Potential Loyalists","Inactive / Low Engagement"))))</f>
        <v>Loyal Customers</v>
      </c>
      <c r="G13" s="11" t="str">
        <f t="shared" si="0"/>
        <v>R, F and M all ≥3, but not Champion</v>
      </c>
      <c r="H13" s="11" t="str">
        <f t="shared" si="1"/>
        <v>Cross-sell, bundles and loyalty</v>
      </c>
    </row>
    <row r="14" spans="1:8" ht="15" customHeight="1" x14ac:dyDescent="0.3">
      <c r="A14" s="11" t="str">
        <f>'RFM Analysis'!A14</f>
        <v>M010</v>
      </c>
      <c r="B14" s="11">
        <f>'RFM Analysis'!I14</f>
        <v>8</v>
      </c>
      <c r="C14" s="11">
        <f>'RFM Analysis'!D14</f>
        <v>3</v>
      </c>
      <c r="D14" s="11">
        <f>'RFM Analysis'!F14</f>
        <v>4</v>
      </c>
      <c r="E14" s="11">
        <f>'RFM Analysis'!H14</f>
        <v>1</v>
      </c>
      <c r="F14" s="11" t="str">
        <f>IF(AND(C14&gt;=4,D14&gt;=4,E14&gt;=4),"Champions / Highly Loyal",IF(AND(C14&gt;=3,D14&gt;=3,E14&gt;=3),"Loyal Customers",IF(AND(C14&lt;=2,OR(D14&gt;=3,E14&gt;=3,'Customer Response Tracker'!J14="Yes")),"At-Risk Customers",IF(C14&gt;=4,"Potential Loyalists","Inactive / Low Engagement"))))</f>
        <v>Inactive / Low Engagement</v>
      </c>
      <c r="G14" s="11" t="str">
        <f t="shared" si="0"/>
        <v>Remaining customer group</v>
      </c>
      <c r="H14" s="11" t="str">
        <f t="shared" si="1"/>
        <v>Low-cost reactivation / selective offers</v>
      </c>
    </row>
    <row r="15" spans="1:8" ht="15" customHeight="1" x14ac:dyDescent="0.3">
      <c r="A15" s="11" t="str">
        <f>'RFM Analysis'!A15</f>
        <v>M011</v>
      </c>
      <c r="B15" s="11">
        <f>'RFM Analysis'!I15</f>
        <v>11</v>
      </c>
      <c r="C15" s="11">
        <f>'RFM Analysis'!D15</f>
        <v>5</v>
      </c>
      <c r="D15" s="11">
        <f>'RFM Analysis'!F15</f>
        <v>3</v>
      </c>
      <c r="E15" s="11">
        <f>'RFM Analysis'!H15</f>
        <v>3</v>
      </c>
      <c r="F15" s="11" t="str">
        <f>IF(AND(C15&gt;=4,D15&gt;=4,E15&gt;=4),"Champions / Highly Loyal",IF(AND(C15&gt;=3,D15&gt;=3,E15&gt;=3),"Loyal Customers",IF(AND(C15&lt;=2,OR(D15&gt;=3,E15&gt;=3,'Customer Response Tracker'!J15="Yes")),"At-Risk Customers",IF(C15&gt;=4,"Potential Loyalists","Inactive / Low Engagement"))))</f>
        <v>Loyal Customers</v>
      </c>
      <c r="G15" s="11" t="str">
        <f t="shared" si="0"/>
        <v>R, F and M all ≥3, but not Champion</v>
      </c>
      <c r="H15" s="11" t="str">
        <f t="shared" si="1"/>
        <v>Cross-sell, bundles and loyalty</v>
      </c>
    </row>
    <row r="16" spans="1:8" ht="15" customHeight="1" x14ac:dyDescent="0.3">
      <c r="A16" s="11" t="str">
        <f>'RFM Analysis'!A16</f>
        <v>M012</v>
      </c>
      <c r="B16" s="11">
        <f>'RFM Analysis'!I16</f>
        <v>4</v>
      </c>
      <c r="C16" s="11">
        <f>'RFM Analysis'!D16</f>
        <v>2</v>
      </c>
      <c r="D16" s="11">
        <f>'RFM Analysis'!F16</f>
        <v>1</v>
      </c>
      <c r="E16" s="11">
        <f>'RFM Analysis'!H16</f>
        <v>1</v>
      </c>
      <c r="F16" s="11" t="str">
        <f>IF(AND(C16&gt;=4,D16&gt;=4,E16&gt;=4),"Champions / Highly Loyal",IF(AND(C16&gt;=3,D16&gt;=3,E16&gt;=3),"Loyal Customers",IF(AND(C16&lt;=2,OR(D16&gt;=3,E16&gt;=3,'Customer Response Tracker'!J16="Yes")),"At-Risk Customers",IF(C16&gt;=4,"Potential Loyalists","Inactive / Low Engagement"))))</f>
        <v>At-Risk Customers</v>
      </c>
      <c r="G16" s="11" t="str">
        <f t="shared" si="0"/>
        <v>R≤2 and F≥3 or M≥3 or self-reported decline</v>
      </c>
      <c r="H16" s="11" t="str">
        <f t="shared" si="1"/>
        <v>Personalized win-back and service recovery</v>
      </c>
    </row>
    <row r="17" spans="1:8" ht="15" customHeight="1" x14ac:dyDescent="0.3">
      <c r="A17" s="11" t="str">
        <f>'RFM Analysis'!A17</f>
        <v>M013</v>
      </c>
      <c r="B17" s="11">
        <f>'RFM Analysis'!I17</f>
        <v>10</v>
      </c>
      <c r="C17" s="11">
        <f>'RFM Analysis'!D17</f>
        <v>3</v>
      </c>
      <c r="D17" s="11">
        <f>'RFM Analysis'!F17</f>
        <v>5</v>
      </c>
      <c r="E17" s="11">
        <f>'RFM Analysis'!H17</f>
        <v>2</v>
      </c>
      <c r="F17" s="11" t="str">
        <f>IF(AND(C17&gt;=4,D17&gt;=4,E17&gt;=4),"Champions / Highly Loyal",IF(AND(C17&gt;=3,D17&gt;=3,E17&gt;=3),"Loyal Customers",IF(AND(C17&lt;=2,OR(D17&gt;=3,E17&gt;=3,'Customer Response Tracker'!J17="Yes")),"At-Risk Customers",IF(C17&gt;=4,"Potential Loyalists","Inactive / Low Engagement"))))</f>
        <v>Inactive / Low Engagement</v>
      </c>
      <c r="G17" s="11" t="str">
        <f t="shared" si="0"/>
        <v>Remaining customer group</v>
      </c>
      <c r="H17" s="11" t="str">
        <f t="shared" si="1"/>
        <v>Low-cost reactivation / selective offers</v>
      </c>
    </row>
    <row r="18" spans="1:8" ht="15" customHeight="1" x14ac:dyDescent="0.3">
      <c r="A18" s="11" t="str">
        <f>'RFM Analysis'!A18</f>
        <v>M014</v>
      </c>
      <c r="B18" s="11">
        <f>'RFM Analysis'!I18</f>
        <v>8</v>
      </c>
      <c r="C18" s="11">
        <f>'RFM Analysis'!D18</f>
        <v>3</v>
      </c>
      <c r="D18" s="11">
        <f>'RFM Analysis'!F18</f>
        <v>3</v>
      </c>
      <c r="E18" s="11">
        <f>'RFM Analysis'!H18</f>
        <v>2</v>
      </c>
      <c r="F18" s="11" t="str">
        <f>IF(AND(C18&gt;=4,D18&gt;=4,E18&gt;=4),"Champions / Highly Loyal",IF(AND(C18&gt;=3,D18&gt;=3,E18&gt;=3),"Loyal Customers",IF(AND(C18&lt;=2,OR(D18&gt;=3,E18&gt;=3,'Customer Response Tracker'!J18="Yes")),"At-Risk Customers",IF(C18&gt;=4,"Potential Loyalists","Inactive / Low Engagement"))))</f>
        <v>Inactive / Low Engagement</v>
      </c>
      <c r="G18" s="11" t="str">
        <f t="shared" si="0"/>
        <v>Remaining customer group</v>
      </c>
      <c r="H18" s="11" t="str">
        <f t="shared" si="1"/>
        <v>Low-cost reactivation / selective offers</v>
      </c>
    </row>
    <row r="19" spans="1:8" ht="15" customHeight="1" x14ac:dyDescent="0.3">
      <c r="A19" s="11" t="str">
        <f>'RFM Analysis'!A19</f>
        <v>M015</v>
      </c>
      <c r="B19" s="11">
        <f>'RFM Analysis'!I19</f>
        <v>11</v>
      </c>
      <c r="C19" s="11">
        <f>'RFM Analysis'!D19</f>
        <v>5</v>
      </c>
      <c r="D19" s="11">
        <f>'RFM Analysis'!F19</f>
        <v>4</v>
      </c>
      <c r="E19" s="11">
        <f>'RFM Analysis'!H19</f>
        <v>2</v>
      </c>
      <c r="F19" s="11" t="str">
        <f>IF(AND(C19&gt;=4,D19&gt;=4,E19&gt;=4),"Champions / Highly Loyal",IF(AND(C19&gt;=3,D19&gt;=3,E19&gt;=3),"Loyal Customers",IF(AND(C19&lt;=2,OR(D19&gt;=3,E19&gt;=3,'Customer Response Tracker'!J19="Yes")),"At-Risk Customers",IF(C19&gt;=4,"Potential Loyalists","Inactive / Low Engagement"))))</f>
        <v>Potential Loyalists</v>
      </c>
      <c r="G19" s="11" t="str">
        <f t="shared" si="0"/>
        <v>Remaining customer group</v>
      </c>
      <c r="H19" s="11" t="str">
        <f t="shared" si="1"/>
        <v>Build frequency and basket size</v>
      </c>
    </row>
    <row r="20" spans="1:8" ht="15" customHeight="1" x14ac:dyDescent="0.3">
      <c r="A20" s="11" t="str">
        <f>'RFM Analysis'!A20</f>
        <v>M016</v>
      </c>
      <c r="B20" s="11">
        <f>'RFM Analysis'!I20</f>
        <v>8</v>
      </c>
      <c r="C20" s="11">
        <f>'RFM Analysis'!D20</f>
        <v>2</v>
      </c>
      <c r="D20" s="11">
        <f>'RFM Analysis'!F20</f>
        <v>1</v>
      </c>
      <c r="E20" s="11">
        <f>'RFM Analysis'!H20</f>
        <v>5</v>
      </c>
      <c r="F20" s="11" t="str">
        <f>IF(AND(C20&gt;=4,D20&gt;=4,E20&gt;=4),"Champions / Highly Loyal",IF(AND(C20&gt;=3,D20&gt;=3,E20&gt;=3),"Loyal Customers",IF(AND(C20&lt;=2,OR(D20&gt;=3,E20&gt;=3,'Customer Response Tracker'!J20="Yes")),"At-Risk Customers",IF(C20&gt;=4,"Potential Loyalists","Inactive / Low Engagement"))))</f>
        <v>At-Risk Customers</v>
      </c>
      <c r="G20" s="11" t="str">
        <f t="shared" si="0"/>
        <v>R≤2 and F≥3 or M≥3 or self-reported decline</v>
      </c>
      <c r="H20" s="11" t="str">
        <f t="shared" si="1"/>
        <v>Personalized win-back and service recovery</v>
      </c>
    </row>
    <row r="21" spans="1:8" ht="15" customHeight="1" x14ac:dyDescent="0.3">
      <c r="A21" s="11" t="str">
        <f>'RFM Analysis'!A21</f>
        <v>M017</v>
      </c>
      <c r="B21" s="11">
        <f>'RFM Analysis'!I21</f>
        <v>12</v>
      </c>
      <c r="C21" s="11">
        <f>'RFM Analysis'!D21</f>
        <v>3</v>
      </c>
      <c r="D21" s="11">
        <f>'RFM Analysis'!F21</f>
        <v>4</v>
      </c>
      <c r="E21" s="11">
        <f>'RFM Analysis'!H21</f>
        <v>5</v>
      </c>
      <c r="F21" s="11" t="str">
        <f>IF(AND(C21&gt;=4,D21&gt;=4,E21&gt;=4),"Champions / Highly Loyal",IF(AND(C21&gt;=3,D21&gt;=3,E21&gt;=3),"Loyal Customers",IF(AND(C21&lt;=2,OR(D21&gt;=3,E21&gt;=3,'Customer Response Tracker'!J21="Yes")),"At-Risk Customers",IF(C21&gt;=4,"Potential Loyalists","Inactive / Low Engagement"))))</f>
        <v>Loyal Customers</v>
      </c>
      <c r="G21" s="11" t="str">
        <f t="shared" si="0"/>
        <v>R, F and M all ≥3, but not Champion</v>
      </c>
      <c r="H21" s="11" t="str">
        <f t="shared" si="1"/>
        <v>Cross-sell, bundles and loyalty</v>
      </c>
    </row>
    <row r="22" spans="1:8" ht="15" customHeight="1" x14ac:dyDescent="0.3">
      <c r="A22" s="11" t="str">
        <f>'RFM Analysis'!A22</f>
        <v>M018</v>
      </c>
      <c r="B22" s="11">
        <f>'RFM Analysis'!I22</f>
        <v>11</v>
      </c>
      <c r="C22" s="11">
        <f>'RFM Analysis'!D22</f>
        <v>3</v>
      </c>
      <c r="D22" s="11">
        <f>'RFM Analysis'!F22</f>
        <v>3</v>
      </c>
      <c r="E22" s="11">
        <f>'RFM Analysis'!H22</f>
        <v>5</v>
      </c>
      <c r="F22" s="11" t="str">
        <f>IF(AND(C22&gt;=4,D22&gt;=4,E22&gt;=4),"Champions / Highly Loyal",IF(AND(C22&gt;=3,D22&gt;=3,E22&gt;=3),"Loyal Customers",IF(AND(C22&lt;=2,OR(D22&gt;=3,E22&gt;=3,'Customer Response Tracker'!J22="Yes")),"At-Risk Customers",IF(C22&gt;=4,"Potential Loyalists","Inactive / Low Engagement"))))</f>
        <v>Loyal Customers</v>
      </c>
      <c r="G22" s="11" t="str">
        <f t="shared" si="0"/>
        <v>R, F and M all ≥3, but not Champion</v>
      </c>
      <c r="H22" s="11" t="str">
        <f t="shared" si="1"/>
        <v>Cross-sell, bundles and loyalty</v>
      </c>
    </row>
    <row r="23" spans="1:8" ht="15" customHeight="1" x14ac:dyDescent="0.3">
      <c r="A23" s="11" t="str">
        <f>'RFM Analysis'!A23</f>
        <v>M019</v>
      </c>
      <c r="B23" s="11">
        <f>'RFM Analysis'!I23</f>
        <v>8</v>
      </c>
      <c r="C23" s="11">
        <f>'RFM Analysis'!D23</f>
        <v>3</v>
      </c>
      <c r="D23" s="11">
        <f>'RFM Analysis'!F23</f>
        <v>4</v>
      </c>
      <c r="E23" s="11">
        <f>'RFM Analysis'!H23</f>
        <v>1</v>
      </c>
      <c r="F23" s="11" t="str">
        <f>IF(AND(C23&gt;=4,D23&gt;=4,E23&gt;=4),"Champions / Highly Loyal",IF(AND(C23&gt;=3,D23&gt;=3,E23&gt;=3),"Loyal Customers",IF(AND(C23&lt;=2,OR(D23&gt;=3,E23&gt;=3,'Customer Response Tracker'!J23="Yes")),"At-Risk Customers",IF(C23&gt;=4,"Potential Loyalists","Inactive / Low Engagement"))))</f>
        <v>Inactive / Low Engagement</v>
      </c>
      <c r="G23" s="11" t="str">
        <f t="shared" si="0"/>
        <v>Remaining customer group</v>
      </c>
      <c r="H23" s="11" t="str">
        <f t="shared" si="1"/>
        <v>Low-cost reactivation / selective offers</v>
      </c>
    </row>
    <row r="24" spans="1:8" ht="15" customHeight="1" x14ac:dyDescent="0.3">
      <c r="A24" s="11" t="str">
        <f>'RFM Analysis'!A24</f>
        <v>M020</v>
      </c>
      <c r="B24" s="11">
        <f>'RFM Analysis'!I24</f>
        <v>7</v>
      </c>
      <c r="C24" s="11">
        <f>'RFM Analysis'!D24</f>
        <v>1</v>
      </c>
      <c r="D24" s="11">
        <f>'RFM Analysis'!F24</f>
        <v>2</v>
      </c>
      <c r="E24" s="11">
        <f>'RFM Analysis'!H24</f>
        <v>4</v>
      </c>
      <c r="F24" s="11" t="str">
        <f>IF(AND(C24&gt;=4,D24&gt;=4,E24&gt;=4),"Champions / Highly Loyal",IF(AND(C24&gt;=3,D24&gt;=3,E24&gt;=3),"Loyal Customers",IF(AND(C24&lt;=2,OR(D24&gt;=3,E24&gt;=3,'Customer Response Tracker'!J24="Yes")),"At-Risk Customers",IF(C24&gt;=4,"Potential Loyalists","Inactive / Low Engagement"))))</f>
        <v>At-Risk Customers</v>
      </c>
      <c r="G24" s="11" t="str">
        <f t="shared" si="0"/>
        <v>R≤2 and F≥3 or M≥3 or self-reported decline</v>
      </c>
      <c r="H24" s="11" t="str">
        <f t="shared" si="1"/>
        <v>Personalized win-back and service recovery</v>
      </c>
    </row>
    <row r="25" spans="1:8" ht="15" customHeight="1" x14ac:dyDescent="0.3">
      <c r="A25" s="11" t="str">
        <f>'RFM Analysis'!A25</f>
        <v>M021</v>
      </c>
      <c r="B25" s="11">
        <f>'RFM Analysis'!I25</f>
        <v>8</v>
      </c>
      <c r="C25" s="11">
        <f>'RFM Analysis'!D25</f>
        <v>3</v>
      </c>
      <c r="D25" s="11">
        <f>'RFM Analysis'!F25</f>
        <v>4</v>
      </c>
      <c r="E25" s="11">
        <f>'RFM Analysis'!H25</f>
        <v>1</v>
      </c>
      <c r="F25" s="11" t="str">
        <f>IF(AND(C25&gt;=4,D25&gt;=4,E25&gt;=4),"Champions / Highly Loyal",IF(AND(C25&gt;=3,D25&gt;=3,E25&gt;=3),"Loyal Customers",IF(AND(C25&lt;=2,OR(D25&gt;=3,E25&gt;=3,'Customer Response Tracker'!J25="Yes")),"At-Risk Customers",IF(C25&gt;=4,"Potential Loyalists","Inactive / Low Engagement"))))</f>
        <v>Inactive / Low Engagement</v>
      </c>
      <c r="G25" s="11" t="str">
        <f t="shared" si="0"/>
        <v>Remaining customer group</v>
      </c>
      <c r="H25" s="11" t="str">
        <f t="shared" si="1"/>
        <v>Low-cost reactivation / selective offers</v>
      </c>
    </row>
    <row r="26" spans="1:8" ht="15" customHeight="1" x14ac:dyDescent="0.3">
      <c r="A26" s="11" t="str">
        <f>'RFM Analysis'!A26</f>
        <v>M022</v>
      </c>
      <c r="B26" s="11">
        <f>'RFM Analysis'!I26</f>
        <v>10</v>
      </c>
      <c r="C26" s="11">
        <f>'RFM Analysis'!D26</f>
        <v>5</v>
      </c>
      <c r="D26" s="11">
        <f>'RFM Analysis'!F26</f>
        <v>1</v>
      </c>
      <c r="E26" s="11">
        <f>'RFM Analysis'!H26</f>
        <v>4</v>
      </c>
      <c r="F26" s="11" t="str">
        <f>IF(AND(C26&gt;=4,D26&gt;=4,E26&gt;=4),"Champions / Highly Loyal",IF(AND(C26&gt;=3,D26&gt;=3,E26&gt;=3),"Loyal Customers",IF(AND(C26&lt;=2,OR(D26&gt;=3,E26&gt;=3,'Customer Response Tracker'!J26="Yes")),"At-Risk Customers",IF(C26&gt;=4,"Potential Loyalists","Inactive / Low Engagement"))))</f>
        <v>Potential Loyalists</v>
      </c>
      <c r="G26" s="11" t="str">
        <f t="shared" si="0"/>
        <v>Remaining customer group</v>
      </c>
      <c r="H26" s="11" t="str">
        <f t="shared" si="1"/>
        <v>Build frequency and basket size</v>
      </c>
    </row>
    <row r="27" spans="1:8" ht="15" customHeight="1" x14ac:dyDescent="0.3">
      <c r="A27" s="11" t="str">
        <f>'RFM Analysis'!A27</f>
        <v>M023</v>
      </c>
      <c r="B27" s="11">
        <f>'RFM Analysis'!I27</f>
        <v>7</v>
      </c>
      <c r="C27" s="11">
        <f>'RFM Analysis'!D27</f>
        <v>3</v>
      </c>
      <c r="D27" s="11">
        <f>'RFM Analysis'!F27</f>
        <v>2</v>
      </c>
      <c r="E27" s="11">
        <f>'RFM Analysis'!H27</f>
        <v>2</v>
      </c>
      <c r="F27" s="11" t="str">
        <f>IF(AND(C27&gt;=4,D27&gt;=4,E27&gt;=4),"Champions / Highly Loyal",IF(AND(C27&gt;=3,D27&gt;=3,E27&gt;=3),"Loyal Customers",IF(AND(C27&lt;=2,OR(D27&gt;=3,E27&gt;=3,'Customer Response Tracker'!J27="Yes")),"At-Risk Customers",IF(C27&gt;=4,"Potential Loyalists","Inactive / Low Engagement"))))</f>
        <v>Inactive / Low Engagement</v>
      </c>
      <c r="G27" s="11" t="str">
        <f t="shared" si="0"/>
        <v>Remaining customer group</v>
      </c>
      <c r="H27" s="11" t="str">
        <f t="shared" si="1"/>
        <v>Low-cost reactivation / selective offers</v>
      </c>
    </row>
    <row r="28" spans="1:8" ht="15" customHeight="1" x14ac:dyDescent="0.3">
      <c r="A28" s="11" t="str">
        <f>'RFM Analysis'!A28</f>
        <v>M024</v>
      </c>
      <c r="B28" s="11">
        <f>'RFM Analysis'!I28</f>
        <v>10</v>
      </c>
      <c r="C28" s="11">
        <f>'RFM Analysis'!D28</f>
        <v>5</v>
      </c>
      <c r="D28" s="11">
        <f>'RFM Analysis'!F28</f>
        <v>3</v>
      </c>
      <c r="E28" s="11">
        <f>'RFM Analysis'!H28</f>
        <v>2</v>
      </c>
      <c r="F28" s="11" t="str">
        <f>IF(AND(C28&gt;=4,D28&gt;=4,E28&gt;=4),"Champions / Highly Loyal",IF(AND(C28&gt;=3,D28&gt;=3,E28&gt;=3),"Loyal Customers",IF(AND(C28&lt;=2,OR(D28&gt;=3,E28&gt;=3,'Customer Response Tracker'!J28="Yes")),"At-Risk Customers",IF(C28&gt;=4,"Potential Loyalists","Inactive / Low Engagement"))))</f>
        <v>Potential Loyalists</v>
      </c>
      <c r="G28" s="11" t="str">
        <f t="shared" si="0"/>
        <v>Remaining customer group</v>
      </c>
      <c r="H28" s="11" t="str">
        <f t="shared" si="1"/>
        <v>Build frequency and basket size</v>
      </c>
    </row>
    <row r="29" spans="1:8" ht="15" customHeight="1" x14ac:dyDescent="0.3">
      <c r="A29" s="11" t="str">
        <f>'RFM Analysis'!A29</f>
        <v>M025</v>
      </c>
      <c r="B29" s="11">
        <f>'RFM Analysis'!I29</f>
        <v>10</v>
      </c>
      <c r="C29" s="11">
        <f>'RFM Analysis'!D29</f>
        <v>2</v>
      </c>
      <c r="D29" s="11">
        <f>'RFM Analysis'!F29</f>
        <v>3</v>
      </c>
      <c r="E29" s="11">
        <f>'RFM Analysis'!H29</f>
        <v>5</v>
      </c>
      <c r="F29" s="11" t="str">
        <f>IF(AND(C29&gt;=4,D29&gt;=4,E29&gt;=4),"Champions / Highly Loyal",IF(AND(C29&gt;=3,D29&gt;=3,E29&gt;=3),"Loyal Customers",IF(AND(C29&lt;=2,OR(D29&gt;=3,E29&gt;=3,'Customer Response Tracker'!J29="Yes")),"At-Risk Customers",IF(C29&gt;=4,"Potential Loyalists","Inactive / Low Engagement"))))</f>
        <v>At-Risk Customers</v>
      </c>
      <c r="G29" s="11" t="str">
        <f t="shared" si="0"/>
        <v>R≤2 and F≥3 or M≥3 or self-reported decline</v>
      </c>
      <c r="H29" s="11" t="str">
        <f t="shared" si="1"/>
        <v>Personalized win-back and service recovery</v>
      </c>
    </row>
    <row r="30" spans="1:8" ht="15" customHeight="1" x14ac:dyDescent="0.3">
      <c r="A30" s="11" t="str">
        <f>'RFM Analysis'!A30</f>
        <v>M026</v>
      </c>
      <c r="B30" s="11">
        <f>'RFM Analysis'!I30</f>
        <v>11</v>
      </c>
      <c r="C30" s="11">
        <f>'RFM Analysis'!D30</f>
        <v>5</v>
      </c>
      <c r="D30" s="11">
        <f>'RFM Analysis'!F30</f>
        <v>3</v>
      </c>
      <c r="E30" s="11">
        <f>'RFM Analysis'!H30</f>
        <v>3</v>
      </c>
      <c r="F30" s="11" t="str">
        <f>IF(AND(C30&gt;=4,D30&gt;=4,E30&gt;=4),"Champions / Highly Loyal",IF(AND(C30&gt;=3,D30&gt;=3,E30&gt;=3),"Loyal Customers",IF(AND(C30&lt;=2,OR(D30&gt;=3,E30&gt;=3,'Customer Response Tracker'!J30="Yes")),"At-Risk Customers",IF(C30&gt;=4,"Potential Loyalists","Inactive / Low Engagement"))))</f>
        <v>Loyal Customers</v>
      </c>
      <c r="G30" s="11" t="str">
        <f t="shared" si="0"/>
        <v>R, F and M all ≥3, but not Champion</v>
      </c>
      <c r="H30" s="11" t="str">
        <f t="shared" si="1"/>
        <v>Cross-sell, bundles and loyalty</v>
      </c>
    </row>
    <row r="31" spans="1:8" ht="15" customHeight="1" x14ac:dyDescent="0.3">
      <c r="A31" s="11" t="str">
        <f>'RFM Analysis'!A31</f>
        <v>M027</v>
      </c>
      <c r="B31" s="11">
        <f>'RFM Analysis'!I31</f>
        <v>10</v>
      </c>
      <c r="C31" s="11">
        <f>'RFM Analysis'!D31</f>
        <v>5</v>
      </c>
      <c r="D31" s="11">
        <f>'RFM Analysis'!F31</f>
        <v>2</v>
      </c>
      <c r="E31" s="11">
        <f>'RFM Analysis'!H31</f>
        <v>3</v>
      </c>
      <c r="F31" s="11" t="str">
        <f>IF(AND(C31&gt;=4,D31&gt;=4,E31&gt;=4),"Champions / Highly Loyal",IF(AND(C31&gt;=3,D31&gt;=3,E31&gt;=3),"Loyal Customers",IF(AND(C31&lt;=2,OR(D31&gt;=3,E31&gt;=3,'Customer Response Tracker'!J31="Yes")),"At-Risk Customers",IF(C31&gt;=4,"Potential Loyalists","Inactive / Low Engagement"))))</f>
        <v>Potential Loyalists</v>
      </c>
      <c r="G31" s="11" t="str">
        <f t="shared" si="0"/>
        <v>Remaining customer group</v>
      </c>
      <c r="H31" s="11" t="str">
        <f t="shared" si="1"/>
        <v>Build frequency and basket size</v>
      </c>
    </row>
    <row r="32" spans="1:8" ht="15" customHeight="1" x14ac:dyDescent="0.3">
      <c r="A32" s="11" t="str">
        <f>'RFM Analysis'!A32</f>
        <v>M028</v>
      </c>
      <c r="B32" s="11">
        <f>'RFM Analysis'!I32</f>
        <v>8</v>
      </c>
      <c r="C32" s="11">
        <f>'RFM Analysis'!D32</f>
        <v>3</v>
      </c>
      <c r="D32" s="11">
        <f>'RFM Analysis'!F32</f>
        <v>4</v>
      </c>
      <c r="E32" s="11">
        <f>'RFM Analysis'!H32</f>
        <v>1</v>
      </c>
      <c r="F32" s="11" t="str">
        <f>IF(AND(C32&gt;=4,D32&gt;=4,E32&gt;=4),"Champions / Highly Loyal",IF(AND(C32&gt;=3,D32&gt;=3,E32&gt;=3),"Loyal Customers",IF(AND(C32&lt;=2,OR(D32&gt;=3,E32&gt;=3,'Customer Response Tracker'!J32="Yes")),"At-Risk Customers",IF(C32&gt;=4,"Potential Loyalists","Inactive / Low Engagement"))))</f>
        <v>Inactive / Low Engagement</v>
      </c>
      <c r="G32" s="11" t="str">
        <f t="shared" si="0"/>
        <v>Remaining customer group</v>
      </c>
      <c r="H32" s="11" t="str">
        <f t="shared" si="1"/>
        <v>Low-cost reactivation / selective offers</v>
      </c>
    </row>
    <row r="33" spans="1:8" ht="15" customHeight="1" x14ac:dyDescent="0.3">
      <c r="A33" s="11" t="str">
        <f>'RFM Analysis'!A33</f>
        <v>M029</v>
      </c>
      <c r="B33" s="11">
        <f>'RFM Analysis'!I33</f>
        <v>12</v>
      </c>
      <c r="C33" s="11">
        <f>'RFM Analysis'!D33</f>
        <v>4</v>
      </c>
      <c r="D33" s="11">
        <f>'RFM Analysis'!F33</f>
        <v>5</v>
      </c>
      <c r="E33" s="11">
        <f>'RFM Analysis'!H33</f>
        <v>3</v>
      </c>
      <c r="F33" s="11" t="str">
        <f>IF(AND(C33&gt;=4,D33&gt;=4,E33&gt;=4),"Champions / Highly Loyal",IF(AND(C33&gt;=3,D33&gt;=3,E33&gt;=3),"Loyal Customers",IF(AND(C33&lt;=2,OR(D33&gt;=3,E33&gt;=3,'Customer Response Tracker'!J33="Yes")),"At-Risk Customers",IF(C33&gt;=4,"Potential Loyalists","Inactive / Low Engagement"))))</f>
        <v>Loyal Customers</v>
      </c>
      <c r="G33" s="11" t="str">
        <f t="shared" si="0"/>
        <v>R, F and M all ≥3, but not Champion</v>
      </c>
      <c r="H33" s="11" t="str">
        <f t="shared" si="1"/>
        <v>Cross-sell, bundles and loyalty</v>
      </c>
    </row>
    <row r="34" spans="1:8" ht="15" customHeight="1" x14ac:dyDescent="0.3">
      <c r="A34" s="11" t="str">
        <f>'RFM Analysis'!A34</f>
        <v>M030</v>
      </c>
      <c r="B34" s="11">
        <f>'RFM Analysis'!I34</f>
        <v>14</v>
      </c>
      <c r="C34" s="11">
        <f>'RFM Analysis'!D34</f>
        <v>4</v>
      </c>
      <c r="D34" s="11">
        <f>'RFM Analysis'!F34</f>
        <v>5</v>
      </c>
      <c r="E34" s="11">
        <f>'RFM Analysis'!H34</f>
        <v>5</v>
      </c>
      <c r="F34" s="11" t="str">
        <f>IF(AND(C34&gt;=4,D34&gt;=4,E34&gt;=4),"Champions / Highly Loyal",IF(AND(C34&gt;=3,D34&gt;=3,E34&gt;=3),"Loyal Customers",IF(AND(C34&lt;=2,OR(D34&gt;=3,E34&gt;=3,'Customer Response Tracker'!J34="Yes")),"At-Risk Customers",IF(C34&gt;=4,"Potential Loyalists","Inactive / Low Engagement"))))</f>
        <v>Champions / Highly Loyal</v>
      </c>
      <c r="G34" s="11" t="str">
        <f t="shared" si="0"/>
        <v>R, F and M all ≥4</v>
      </c>
      <c r="H34" s="11" t="str">
        <f t="shared" si="1"/>
        <v>Advocacy, recognition and premium loyalty</v>
      </c>
    </row>
    <row r="35" spans="1:8" ht="15" customHeight="1" x14ac:dyDescent="0.3">
      <c r="A35" s="11" t="str">
        <f>'RFM Analysis'!A35</f>
        <v>M031</v>
      </c>
      <c r="B35" s="11">
        <f>'RFM Analysis'!I35</f>
        <v>7</v>
      </c>
      <c r="C35" s="11">
        <f>'RFM Analysis'!D35</f>
        <v>2</v>
      </c>
      <c r="D35" s="11">
        <f>'RFM Analysis'!F35</f>
        <v>3</v>
      </c>
      <c r="E35" s="11">
        <f>'RFM Analysis'!H35</f>
        <v>2</v>
      </c>
      <c r="F35" s="11" t="str">
        <f>IF(AND(C35&gt;=4,D35&gt;=4,E35&gt;=4),"Champions / Highly Loyal",IF(AND(C35&gt;=3,D35&gt;=3,E35&gt;=3),"Loyal Customers",IF(AND(C35&lt;=2,OR(D35&gt;=3,E35&gt;=3,'Customer Response Tracker'!J35="Yes")),"At-Risk Customers",IF(C35&gt;=4,"Potential Loyalists","Inactive / Low Engagement"))))</f>
        <v>At-Risk Customers</v>
      </c>
      <c r="G35" s="11" t="str">
        <f t="shared" si="0"/>
        <v>R≤2 and F≥3 or M≥3 or self-reported decline</v>
      </c>
      <c r="H35" s="11" t="str">
        <f t="shared" si="1"/>
        <v>Personalized win-back and service recovery</v>
      </c>
    </row>
    <row r="36" spans="1:8" ht="15" customHeight="1" x14ac:dyDescent="0.3">
      <c r="A36" s="11" t="str">
        <f>'RFM Analysis'!A36</f>
        <v>M032</v>
      </c>
      <c r="B36" s="11">
        <f>'RFM Analysis'!I36</f>
        <v>8</v>
      </c>
      <c r="C36" s="11">
        <f>'RFM Analysis'!D36</f>
        <v>4</v>
      </c>
      <c r="D36" s="11">
        <f>'RFM Analysis'!F36</f>
        <v>3</v>
      </c>
      <c r="E36" s="11">
        <f>'RFM Analysis'!H36</f>
        <v>1</v>
      </c>
      <c r="F36" s="11" t="str">
        <f>IF(AND(C36&gt;=4,D36&gt;=4,E36&gt;=4),"Champions / Highly Loyal",IF(AND(C36&gt;=3,D36&gt;=3,E36&gt;=3),"Loyal Customers",IF(AND(C36&lt;=2,OR(D36&gt;=3,E36&gt;=3,'Customer Response Tracker'!J36="Yes")),"At-Risk Customers",IF(C36&gt;=4,"Potential Loyalists","Inactive / Low Engagement"))))</f>
        <v>Potential Loyalists</v>
      </c>
      <c r="G36" s="11" t="str">
        <f t="shared" si="0"/>
        <v>Remaining customer group</v>
      </c>
      <c r="H36" s="11" t="str">
        <f t="shared" si="1"/>
        <v>Build frequency and basket size</v>
      </c>
    </row>
    <row r="37" spans="1:8" ht="15" customHeight="1" x14ac:dyDescent="0.3">
      <c r="A37" s="11" t="str">
        <f>'RFM Analysis'!A37</f>
        <v>M033</v>
      </c>
      <c r="B37" s="11">
        <f>'RFM Analysis'!I37</f>
        <v>13</v>
      </c>
      <c r="C37" s="11">
        <f>'RFM Analysis'!D37</f>
        <v>4</v>
      </c>
      <c r="D37" s="11">
        <f>'RFM Analysis'!F37</f>
        <v>5</v>
      </c>
      <c r="E37" s="11">
        <f>'RFM Analysis'!H37</f>
        <v>4</v>
      </c>
      <c r="F37" s="11" t="str">
        <f>IF(AND(C37&gt;=4,D37&gt;=4,E37&gt;=4),"Champions / Highly Loyal",IF(AND(C37&gt;=3,D37&gt;=3,E37&gt;=3),"Loyal Customers",IF(AND(C37&lt;=2,OR(D37&gt;=3,E37&gt;=3,'Customer Response Tracker'!J37="Yes")),"At-Risk Customers",IF(C37&gt;=4,"Potential Loyalists","Inactive / Low Engagement"))))</f>
        <v>Champions / Highly Loyal</v>
      </c>
      <c r="G37" s="11" t="str">
        <f t="shared" ref="G37:G68" si="2">IF(F37="Champions / Highly Loyal","R, F and M all ≥4",IF(F37="Loyal Customers","R, F and M all ≥3, but not Champion",IF(F37="At-Risk Customers","R≤2 and F≥3 or M≥3 or self-reported decline","Remaining customer group")))</f>
        <v>R, F and M all ≥4</v>
      </c>
      <c r="H37" s="11" t="str">
        <f t="shared" ref="H37:H68" si="3">IF(F37="Champions / Highly Loyal","Advocacy, recognition and premium loyalty",IF(F37="Loyal Customers","Cross-sell, bundles and loyalty",IF(F37="Potential Loyalists","Build frequency and basket size",IF(F37="At-Risk Customers","Personalized win-back and service recovery","Low-cost reactivation / selective offers"))))</f>
        <v>Advocacy, recognition and premium loyalty</v>
      </c>
    </row>
    <row r="38" spans="1:8" ht="15" customHeight="1" x14ac:dyDescent="0.3">
      <c r="A38" s="11" t="str">
        <f>'RFM Analysis'!A38</f>
        <v>M034</v>
      </c>
      <c r="B38" s="11">
        <f>'RFM Analysis'!I38</f>
        <v>12</v>
      </c>
      <c r="C38" s="11">
        <f>'RFM Analysis'!D38</f>
        <v>5</v>
      </c>
      <c r="D38" s="11">
        <f>'RFM Analysis'!F38</f>
        <v>2</v>
      </c>
      <c r="E38" s="11">
        <f>'RFM Analysis'!H38</f>
        <v>5</v>
      </c>
      <c r="F38" s="11" t="str">
        <f>IF(AND(C38&gt;=4,D38&gt;=4,E38&gt;=4),"Champions / Highly Loyal",IF(AND(C38&gt;=3,D38&gt;=3,E38&gt;=3),"Loyal Customers",IF(AND(C38&lt;=2,OR(D38&gt;=3,E38&gt;=3,'Customer Response Tracker'!J38="Yes")),"At-Risk Customers",IF(C38&gt;=4,"Potential Loyalists","Inactive / Low Engagement"))))</f>
        <v>Potential Loyalists</v>
      </c>
      <c r="G38" s="11" t="str">
        <f t="shared" si="2"/>
        <v>Remaining customer group</v>
      </c>
      <c r="H38" s="11" t="str">
        <f t="shared" si="3"/>
        <v>Build frequency and basket size</v>
      </c>
    </row>
    <row r="39" spans="1:8" ht="15" customHeight="1" x14ac:dyDescent="0.3">
      <c r="A39" s="11" t="str">
        <f>'RFM Analysis'!A39</f>
        <v>M035</v>
      </c>
      <c r="B39" s="11">
        <f>'RFM Analysis'!I39</f>
        <v>13</v>
      </c>
      <c r="C39" s="11">
        <f>'RFM Analysis'!D39</f>
        <v>4</v>
      </c>
      <c r="D39" s="11">
        <f>'RFM Analysis'!F39</f>
        <v>5</v>
      </c>
      <c r="E39" s="11">
        <f>'RFM Analysis'!H39</f>
        <v>4</v>
      </c>
      <c r="F39" s="11" t="str">
        <f>IF(AND(C39&gt;=4,D39&gt;=4,E39&gt;=4),"Champions / Highly Loyal",IF(AND(C39&gt;=3,D39&gt;=3,E39&gt;=3),"Loyal Customers",IF(AND(C39&lt;=2,OR(D39&gt;=3,E39&gt;=3,'Customer Response Tracker'!J39="Yes")),"At-Risk Customers",IF(C39&gt;=4,"Potential Loyalists","Inactive / Low Engagement"))))</f>
        <v>Champions / Highly Loyal</v>
      </c>
      <c r="G39" s="11" t="str">
        <f t="shared" si="2"/>
        <v>R, F and M all ≥4</v>
      </c>
      <c r="H39" s="11" t="str">
        <f t="shared" si="3"/>
        <v>Advocacy, recognition and premium loyalty</v>
      </c>
    </row>
    <row r="40" spans="1:8" ht="15" customHeight="1" x14ac:dyDescent="0.3">
      <c r="A40" s="11" t="str">
        <f>'RFM Analysis'!A40</f>
        <v>M036</v>
      </c>
      <c r="B40" s="11">
        <f>'RFM Analysis'!I40</f>
        <v>10</v>
      </c>
      <c r="C40" s="11">
        <f>'RFM Analysis'!D40</f>
        <v>3</v>
      </c>
      <c r="D40" s="11">
        <f>'RFM Analysis'!F40</f>
        <v>5</v>
      </c>
      <c r="E40" s="11">
        <f>'RFM Analysis'!H40</f>
        <v>2</v>
      </c>
      <c r="F40" s="11" t="str">
        <f>IF(AND(C40&gt;=4,D40&gt;=4,E40&gt;=4),"Champions / Highly Loyal",IF(AND(C40&gt;=3,D40&gt;=3,E40&gt;=3),"Loyal Customers",IF(AND(C40&lt;=2,OR(D40&gt;=3,E40&gt;=3,'Customer Response Tracker'!J40="Yes")),"At-Risk Customers",IF(C40&gt;=4,"Potential Loyalists","Inactive / Low Engagement"))))</f>
        <v>Inactive / Low Engagement</v>
      </c>
      <c r="G40" s="11" t="str">
        <f t="shared" si="2"/>
        <v>Remaining customer group</v>
      </c>
      <c r="H40" s="11" t="str">
        <f t="shared" si="3"/>
        <v>Low-cost reactivation / selective offers</v>
      </c>
    </row>
    <row r="41" spans="1:8" ht="15" customHeight="1" x14ac:dyDescent="0.3">
      <c r="A41" s="11" t="str">
        <f>'RFM Analysis'!A41</f>
        <v>M037</v>
      </c>
      <c r="B41" s="11">
        <f>'RFM Analysis'!I41</f>
        <v>8</v>
      </c>
      <c r="C41" s="11">
        <f>'RFM Analysis'!D41</f>
        <v>2</v>
      </c>
      <c r="D41" s="11">
        <f>'RFM Analysis'!F41</f>
        <v>3</v>
      </c>
      <c r="E41" s="11">
        <f>'RFM Analysis'!H41</f>
        <v>3</v>
      </c>
      <c r="F41" s="11" t="str">
        <f>IF(AND(C41&gt;=4,D41&gt;=4,E41&gt;=4),"Champions / Highly Loyal",IF(AND(C41&gt;=3,D41&gt;=3,E41&gt;=3),"Loyal Customers",IF(AND(C41&lt;=2,OR(D41&gt;=3,E41&gt;=3,'Customer Response Tracker'!J41="Yes")),"At-Risk Customers",IF(C41&gt;=4,"Potential Loyalists","Inactive / Low Engagement"))))</f>
        <v>At-Risk Customers</v>
      </c>
      <c r="G41" s="11" t="str">
        <f t="shared" si="2"/>
        <v>R≤2 and F≥3 or M≥3 or self-reported decline</v>
      </c>
      <c r="H41" s="11" t="str">
        <f t="shared" si="3"/>
        <v>Personalized win-back and service recovery</v>
      </c>
    </row>
    <row r="42" spans="1:8" ht="15" customHeight="1" x14ac:dyDescent="0.3">
      <c r="A42" s="11" t="str">
        <f>'RFM Analysis'!A42</f>
        <v>M038</v>
      </c>
      <c r="B42" s="11">
        <f>'RFM Analysis'!I42</f>
        <v>8</v>
      </c>
      <c r="C42" s="11">
        <f>'RFM Analysis'!D42</f>
        <v>4</v>
      </c>
      <c r="D42" s="11">
        <f>'RFM Analysis'!F42</f>
        <v>3</v>
      </c>
      <c r="E42" s="11">
        <f>'RFM Analysis'!H42</f>
        <v>1</v>
      </c>
      <c r="F42" s="11" t="str">
        <f>IF(AND(C42&gt;=4,D42&gt;=4,E42&gt;=4),"Champions / Highly Loyal",IF(AND(C42&gt;=3,D42&gt;=3,E42&gt;=3),"Loyal Customers",IF(AND(C42&lt;=2,OR(D42&gt;=3,E42&gt;=3,'Customer Response Tracker'!J42="Yes")),"At-Risk Customers",IF(C42&gt;=4,"Potential Loyalists","Inactive / Low Engagement"))))</f>
        <v>Potential Loyalists</v>
      </c>
      <c r="G42" s="11" t="str">
        <f t="shared" si="2"/>
        <v>Remaining customer group</v>
      </c>
      <c r="H42" s="11" t="str">
        <f t="shared" si="3"/>
        <v>Build frequency and basket size</v>
      </c>
    </row>
    <row r="43" spans="1:8" ht="15" customHeight="1" x14ac:dyDescent="0.3">
      <c r="A43" s="11" t="str">
        <f>'RFM Analysis'!A43</f>
        <v>M039</v>
      </c>
      <c r="B43" s="11">
        <f>'RFM Analysis'!I43</f>
        <v>13</v>
      </c>
      <c r="C43" s="11">
        <f>'RFM Analysis'!D43</f>
        <v>4</v>
      </c>
      <c r="D43" s="11">
        <f>'RFM Analysis'!F43</f>
        <v>4</v>
      </c>
      <c r="E43" s="11">
        <f>'RFM Analysis'!H43</f>
        <v>5</v>
      </c>
      <c r="F43" s="11" t="str">
        <f>IF(AND(C43&gt;=4,D43&gt;=4,E43&gt;=4),"Champions / Highly Loyal",IF(AND(C43&gt;=3,D43&gt;=3,E43&gt;=3),"Loyal Customers",IF(AND(C43&lt;=2,OR(D43&gt;=3,E43&gt;=3,'Customer Response Tracker'!J43="Yes")),"At-Risk Customers",IF(C43&gt;=4,"Potential Loyalists","Inactive / Low Engagement"))))</f>
        <v>Champions / Highly Loyal</v>
      </c>
      <c r="G43" s="11" t="str">
        <f t="shared" si="2"/>
        <v>R, F and M all ≥4</v>
      </c>
      <c r="H43" s="11" t="str">
        <f t="shared" si="3"/>
        <v>Advocacy, recognition and premium loyalty</v>
      </c>
    </row>
    <row r="44" spans="1:8" ht="15" customHeight="1" x14ac:dyDescent="0.3">
      <c r="A44" s="11" t="str">
        <f>'RFM Analysis'!A44</f>
        <v>M040</v>
      </c>
      <c r="B44" s="11">
        <f>'RFM Analysis'!I44</f>
        <v>11</v>
      </c>
      <c r="C44" s="11">
        <f>'RFM Analysis'!D44</f>
        <v>5</v>
      </c>
      <c r="D44" s="11">
        <f>'RFM Analysis'!F44</f>
        <v>2</v>
      </c>
      <c r="E44" s="11">
        <f>'RFM Analysis'!H44</f>
        <v>4</v>
      </c>
      <c r="F44" s="11" t="str">
        <f>IF(AND(C44&gt;=4,D44&gt;=4,E44&gt;=4),"Champions / Highly Loyal",IF(AND(C44&gt;=3,D44&gt;=3,E44&gt;=3),"Loyal Customers",IF(AND(C44&lt;=2,OR(D44&gt;=3,E44&gt;=3,'Customer Response Tracker'!J44="Yes")),"At-Risk Customers",IF(C44&gt;=4,"Potential Loyalists","Inactive / Low Engagement"))))</f>
        <v>Potential Loyalists</v>
      </c>
      <c r="G44" s="11" t="str">
        <f t="shared" si="2"/>
        <v>Remaining customer group</v>
      </c>
      <c r="H44" s="11" t="str">
        <f t="shared" si="3"/>
        <v>Build frequency and basket size</v>
      </c>
    </row>
    <row r="45" spans="1:8" ht="15" customHeight="1" x14ac:dyDescent="0.3">
      <c r="A45" s="11" t="str">
        <f>'RFM Analysis'!A45</f>
        <v>M041</v>
      </c>
      <c r="B45" s="11">
        <f>'RFM Analysis'!I45</f>
        <v>15</v>
      </c>
      <c r="C45" s="11">
        <f>'RFM Analysis'!D45</f>
        <v>5</v>
      </c>
      <c r="D45" s="11">
        <f>'RFM Analysis'!F45</f>
        <v>5</v>
      </c>
      <c r="E45" s="11">
        <f>'RFM Analysis'!H45</f>
        <v>5</v>
      </c>
      <c r="F45" s="11" t="str">
        <f>IF(AND(C45&gt;=4,D45&gt;=4,E45&gt;=4),"Champions / Highly Loyal",IF(AND(C45&gt;=3,D45&gt;=3,E45&gt;=3),"Loyal Customers",IF(AND(C45&lt;=2,OR(D45&gt;=3,E45&gt;=3,'Customer Response Tracker'!J45="Yes")),"At-Risk Customers",IF(C45&gt;=4,"Potential Loyalists","Inactive / Low Engagement"))))</f>
        <v>Champions / Highly Loyal</v>
      </c>
      <c r="G45" s="11" t="str">
        <f t="shared" si="2"/>
        <v>R, F and M all ≥4</v>
      </c>
      <c r="H45" s="11" t="str">
        <f t="shared" si="3"/>
        <v>Advocacy, recognition and premium loyalty</v>
      </c>
    </row>
    <row r="46" spans="1:8" ht="15" customHeight="1" x14ac:dyDescent="0.3">
      <c r="A46" s="11" t="str">
        <f>'RFM Analysis'!A46</f>
        <v>M042</v>
      </c>
      <c r="B46" s="11">
        <f>'RFM Analysis'!I46</f>
        <v>5</v>
      </c>
      <c r="C46" s="11">
        <f>'RFM Analysis'!D46</f>
        <v>3</v>
      </c>
      <c r="D46" s="11">
        <f>'RFM Analysis'!F46</f>
        <v>1</v>
      </c>
      <c r="E46" s="11">
        <f>'RFM Analysis'!H46</f>
        <v>1</v>
      </c>
      <c r="F46" s="11" t="str">
        <f>IF(AND(C46&gt;=4,D46&gt;=4,E46&gt;=4),"Champions / Highly Loyal",IF(AND(C46&gt;=3,D46&gt;=3,E46&gt;=3),"Loyal Customers",IF(AND(C46&lt;=2,OR(D46&gt;=3,E46&gt;=3,'Customer Response Tracker'!J46="Yes")),"At-Risk Customers",IF(C46&gt;=4,"Potential Loyalists","Inactive / Low Engagement"))))</f>
        <v>Inactive / Low Engagement</v>
      </c>
      <c r="G46" s="11" t="str">
        <f t="shared" si="2"/>
        <v>Remaining customer group</v>
      </c>
      <c r="H46" s="11" t="str">
        <f t="shared" si="3"/>
        <v>Low-cost reactivation / selective offers</v>
      </c>
    </row>
    <row r="47" spans="1:8" ht="15" customHeight="1" x14ac:dyDescent="0.3">
      <c r="A47" s="11" t="str">
        <f>'RFM Analysis'!A47</f>
        <v>M043</v>
      </c>
      <c r="B47" s="11">
        <f>'RFM Analysis'!I47</f>
        <v>10</v>
      </c>
      <c r="C47" s="11">
        <f>'RFM Analysis'!D47</f>
        <v>3</v>
      </c>
      <c r="D47" s="11">
        <f>'RFM Analysis'!F47</f>
        <v>4</v>
      </c>
      <c r="E47" s="11">
        <f>'RFM Analysis'!H47</f>
        <v>3</v>
      </c>
      <c r="F47" s="11" t="str">
        <f>IF(AND(C47&gt;=4,D47&gt;=4,E47&gt;=4),"Champions / Highly Loyal",IF(AND(C47&gt;=3,D47&gt;=3,E47&gt;=3),"Loyal Customers",IF(AND(C47&lt;=2,OR(D47&gt;=3,E47&gt;=3,'Customer Response Tracker'!J47="Yes")),"At-Risk Customers",IF(C47&gt;=4,"Potential Loyalists","Inactive / Low Engagement"))))</f>
        <v>Loyal Customers</v>
      </c>
      <c r="G47" s="11" t="str">
        <f t="shared" si="2"/>
        <v>R, F and M all ≥3, but not Champion</v>
      </c>
      <c r="H47" s="11" t="str">
        <f t="shared" si="3"/>
        <v>Cross-sell, bundles and loyalty</v>
      </c>
    </row>
    <row r="48" spans="1:8" ht="15" customHeight="1" x14ac:dyDescent="0.3">
      <c r="A48" s="11" t="str">
        <f>'RFM Analysis'!A48</f>
        <v>M044</v>
      </c>
      <c r="B48" s="11">
        <f>'RFM Analysis'!I48</f>
        <v>5</v>
      </c>
      <c r="C48" s="11">
        <f>'RFM Analysis'!D48</f>
        <v>1</v>
      </c>
      <c r="D48" s="11">
        <f>'RFM Analysis'!F48</f>
        <v>1</v>
      </c>
      <c r="E48" s="11">
        <f>'RFM Analysis'!H48</f>
        <v>3</v>
      </c>
      <c r="F48" s="11" t="str">
        <f>IF(AND(C48&gt;=4,D48&gt;=4,E48&gt;=4),"Champions / Highly Loyal",IF(AND(C48&gt;=3,D48&gt;=3,E48&gt;=3),"Loyal Customers",IF(AND(C48&lt;=2,OR(D48&gt;=3,E48&gt;=3,'Customer Response Tracker'!J48="Yes")),"At-Risk Customers",IF(C48&gt;=4,"Potential Loyalists","Inactive / Low Engagement"))))</f>
        <v>At-Risk Customers</v>
      </c>
      <c r="G48" s="11" t="str">
        <f t="shared" si="2"/>
        <v>R≤2 and F≥3 or M≥3 or self-reported decline</v>
      </c>
      <c r="H48" s="11" t="str">
        <f t="shared" si="3"/>
        <v>Personalized win-back and service recovery</v>
      </c>
    </row>
    <row r="49" spans="1:8" ht="15" customHeight="1" x14ac:dyDescent="0.3">
      <c r="A49" s="11" t="str">
        <f>'RFM Analysis'!A49</f>
        <v>M045</v>
      </c>
      <c r="B49" s="11">
        <f>'RFM Analysis'!I49</f>
        <v>7</v>
      </c>
      <c r="C49" s="11">
        <f>'RFM Analysis'!D49</f>
        <v>3</v>
      </c>
      <c r="D49" s="11">
        <f>'RFM Analysis'!F49</f>
        <v>1</v>
      </c>
      <c r="E49" s="11">
        <f>'RFM Analysis'!H49</f>
        <v>3</v>
      </c>
      <c r="F49" s="11" t="str">
        <f>IF(AND(C49&gt;=4,D49&gt;=4,E49&gt;=4),"Champions / Highly Loyal",IF(AND(C49&gt;=3,D49&gt;=3,E49&gt;=3),"Loyal Customers",IF(AND(C49&lt;=2,OR(D49&gt;=3,E49&gt;=3,'Customer Response Tracker'!J49="Yes")),"At-Risk Customers",IF(C49&gt;=4,"Potential Loyalists","Inactive / Low Engagement"))))</f>
        <v>Inactive / Low Engagement</v>
      </c>
      <c r="G49" s="11" t="str">
        <f t="shared" si="2"/>
        <v>Remaining customer group</v>
      </c>
      <c r="H49" s="11" t="str">
        <f t="shared" si="3"/>
        <v>Low-cost reactivation / selective offers</v>
      </c>
    </row>
    <row r="50" spans="1:8" ht="15" customHeight="1" x14ac:dyDescent="0.3">
      <c r="A50" s="11" t="str">
        <f>'RFM Analysis'!A50</f>
        <v>M046</v>
      </c>
      <c r="B50" s="11">
        <f>'RFM Analysis'!I50</f>
        <v>10</v>
      </c>
      <c r="C50" s="11">
        <f>'RFM Analysis'!D50</f>
        <v>3</v>
      </c>
      <c r="D50" s="11">
        <f>'RFM Analysis'!F50</f>
        <v>5</v>
      </c>
      <c r="E50" s="11">
        <f>'RFM Analysis'!H50</f>
        <v>2</v>
      </c>
      <c r="F50" s="11" t="str">
        <f>IF(AND(C50&gt;=4,D50&gt;=4,E50&gt;=4),"Champions / Highly Loyal",IF(AND(C50&gt;=3,D50&gt;=3,E50&gt;=3),"Loyal Customers",IF(AND(C50&lt;=2,OR(D50&gt;=3,E50&gt;=3,'Customer Response Tracker'!J50="Yes")),"At-Risk Customers",IF(C50&gt;=4,"Potential Loyalists","Inactive / Low Engagement"))))</f>
        <v>Inactive / Low Engagement</v>
      </c>
      <c r="G50" s="11" t="str">
        <f t="shared" si="2"/>
        <v>Remaining customer group</v>
      </c>
      <c r="H50" s="11" t="str">
        <f t="shared" si="3"/>
        <v>Low-cost reactivation / selective offers</v>
      </c>
    </row>
    <row r="51" spans="1:8" ht="15" customHeight="1" x14ac:dyDescent="0.3">
      <c r="A51" s="11" t="str">
        <f>'RFM Analysis'!A51</f>
        <v>M047</v>
      </c>
      <c r="B51" s="11">
        <f>'RFM Analysis'!I51</f>
        <v>9</v>
      </c>
      <c r="C51" s="11">
        <f>'RFM Analysis'!D51</f>
        <v>3</v>
      </c>
      <c r="D51" s="11">
        <f>'RFM Analysis'!F51</f>
        <v>4</v>
      </c>
      <c r="E51" s="11">
        <f>'RFM Analysis'!H51</f>
        <v>2</v>
      </c>
      <c r="F51" s="11" t="str">
        <f>IF(AND(C51&gt;=4,D51&gt;=4,E51&gt;=4),"Champions / Highly Loyal",IF(AND(C51&gt;=3,D51&gt;=3,E51&gt;=3),"Loyal Customers",IF(AND(C51&lt;=2,OR(D51&gt;=3,E51&gt;=3,'Customer Response Tracker'!J51="Yes")),"At-Risk Customers",IF(C51&gt;=4,"Potential Loyalists","Inactive / Low Engagement"))))</f>
        <v>Inactive / Low Engagement</v>
      </c>
      <c r="G51" s="11" t="str">
        <f t="shared" si="2"/>
        <v>Remaining customer group</v>
      </c>
      <c r="H51" s="11" t="str">
        <f t="shared" si="3"/>
        <v>Low-cost reactivation / selective offers</v>
      </c>
    </row>
    <row r="52" spans="1:8" ht="15" customHeight="1" x14ac:dyDescent="0.3">
      <c r="A52" s="11" t="str">
        <f>'RFM Analysis'!A52</f>
        <v>M048</v>
      </c>
      <c r="B52" s="11">
        <f>'RFM Analysis'!I52</f>
        <v>11</v>
      </c>
      <c r="C52" s="11">
        <f>'RFM Analysis'!D52</f>
        <v>3</v>
      </c>
      <c r="D52" s="11">
        <f>'RFM Analysis'!F52</f>
        <v>3</v>
      </c>
      <c r="E52" s="11">
        <f>'RFM Analysis'!H52</f>
        <v>5</v>
      </c>
      <c r="F52" s="11" t="str">
        <f>IF(AND(C52&gt;=4,D52&gt;=4,E52&gt;=4),"Champions / Highly Loyal",IF(AND(C52&gt;=3,D52&gt;=3,E52&gt;=3),"Loyal Customers",IF(AND(C52&lt;=2,OR(D52&gt;=3,E52&gt;=3,'Customer Response Tracker'!J52="Yes")),"At-Risk Customers",IF(C52&gt;=4,"Potential Loyalists","Inactive / Low Engagement"))))</f>
        <v>Loyal Customers</v>
      </c>
      <c r="G52" s="11" t="str">
        <f t="shared" si="2"/>
        <v>R, F and M all ≥3, but not Champion</v>
      </c>
      <c r="H52" s="11" t="str">
        <f t="shared" si="3"/>
        <v>Cross-sell, bundles and loyalty</v>
      </c>
    </row>
    <row r="53" spans="1:8" ht="15" customHeight="1" x14ac:dyDescent="0.3">
      <c r="A53" s="11" t="str">
        <f>'RFM Analysis'!A53</f>
        <v>M049</v>
      </c>
      <c r="B53" s="11">
        <f>'RFM Analysis'!I53</f>
        <v>12</v>
      </c>
      <c r="C53" s="11">
        <f>'RFM Analysis'!D53</f>
        <v>4</v>
      </c>
      <c r="D53" s="11">
        <f>'RFM Analysis'!F53</f>
        <v>5</v>
      </c>
      <c r="E53" s="11">
        <f>'RFM Analysis'!H53</f>
        <v>3</v>
      </c>
      <c r="F53" s="11" t="str">
        <f>IF(AND(C53&gt;=4,D53&gt;=4,E53&gt;=4),"Champions / Highly Loyal",IF(AND(C53&gt;=3,D53&gt;=3,E53&gt;=3),"Loyal Customers",IF(AND(C53&lt;=2,OR(D53&gt;=3,E53&gt;=3,'Customer Response Tracker'!J53="Yes")),"At-Risk Customers",IF(C53&gt;=4,"Potential Loyalists","Inactive / Low Engagement"))))</f>
        <v>Loyal Customers</v>
      </c>
      <c r="G53" s="11" t="str">
        <f t="shared" si="2"/>
        <v>R, F and M all ≥3, but not Champion</v>
      </c>
      <c r="H53" s="11" t="str">
        <f t="shared" si="3"/>
        <v>Cross-sell, bundles and loyalty</v>
      </c>
    </row>
    <row r="54" spans="1:8" ht="15" customHeight="1" x14ac:dyDescent="0.3">
      <c r="A54" s="11" t="str">
        <f>'RFM Analysis'!A54</f>
        <v>M050</v>
      </c>
      <c r="B54" s="11">
        <f>'RFM Analysis'!I54</f>
        <v>7</v>
      </c>
      <c r="C54" s="11">
        <f>'RFM Analysis'!D54</f>
        <v>2</v>
      </c>
      <c r="D54" s="11">
        <f>'RFM Analysis'!F54</f>
        <v>1</v>
      </c>
      <c r="E54" s="11">
        <f>'RFM Analysis'!H54</f>
        <v>4</v>
      </c>
      <c r="F54" s="11" t="str">
        <f>IF(AND(C54&gt;=4,D54&gt;=4,E54&gt;=4),"Champions / Highly Loyal",IF(AND(C54&gt;=3,D54&gt;=3,E54&gt;=3),"Loyal Customers",IF(AND(C54&lt;=2,OR(D54&gt;=3,E54&gt;=3,'Customer Response Tracker'!J54="Yes")),"At-Risk Customers",IF(C54&gt;=4,"Potential Loyalists","Inactive / Low Engagement"))))</f>
        <v>At-Risk Customers</v>
      </c>
      <c r="G54" s="11" t="str">
        <f t="shared" si="2"/>
        <v>R≤2 and F≥3 or M≥3 or self-reported decline</v>
      </c>
      <c r="H54" s="11" t="str">
        <f t="shared" si="3"/>
        <v>Personalized win-back and service recovery</v>
      </c>
    </row>
    <row r="55" spans="1:8" ht="15" customHeight="1" x14ac:dyDescent="0.3">
      <c r="A55" s="11" t="str">
        <f>'RFM Analysis'!A55</f>
        <v>M051</v>
      </c>
      <c r="B55" s="11">
        <f>'RFM Analysis'!I55</f>
        <v>11</v>
      </c>
      <c r="C55" s="11">
        <f>'RFM Analysis'!D55</f>
        <v>3</v>
      </c>
      <c r="D55" s="11">
        <f>'RFM Analysis'!F55</f>
        <v>3</v>
      </c>
      <c r="E55" s="11">
        <f>'RFM Analysis'!H55</f>
        <v>5</v>
      </c>
      <c r="F55" s="11" t="str">
        <f>IF(AND(C55&gt;=4,D55&gt;=4,E55&gt;=4),"Champions / Highly Loyal",IF(AND(C55&gt;=3,D55&gt;=3,E55&gt;=3),"Loyal Customers",IF(AND(C55&lt;=2,OR(D55&gt;=3,E55&gt;=3,'Customer Response Tracker'!J55="Yes")),"At-Risk Customers",IF(C55&gt;=4,"Potential Loyalists","Inactive / Low Engagement"))))</f>
        <v>Loyal Customers</v>
      </c>
      <c r="G55" s="11" t="str">
        <f t="shared" si="2"/>
        <v>R, F and M all ≥3, but not Champion</v>
      </c>
      <c r="H55" s="11" t="str">
        <f t="shared" si="3"/>
        <v>Cross-sell, bundles and loyalty</v>
      </c>
    </row>
    <row r="56" spans="1:8" ht="15" customHeight="1" x14ac:dyDescent="0.3">
      <c r="A56" s="11" t="str">
        <f>'RFM Analysis'!A56</f>
        <v>M052</v>
      </c>
      <c r="B56" s="11">
        <f>'RFM Analysis'!I56</f>
        <v>9</v>
      </c>
      <c r="C56" s="11">
        <f>'RFM Analysis'!D56</f>
        <v>3</v>
      </c>
      <c r="D56" s="11">
        <f>'RFM Analysis'!F56</f>
        <v>2</v>
      </c>
      <c r="E56" s="11">
        <f>'RFM Analysis'!H56</f>
        <v>4</v>
      </c>
      <c r="F56" s="11" t="str">
        <f>IF(AND(C56&gt;=4,D56&gt;=4,E56&gt;=4),"Champions / Highly Loyal",IF(AND(C56&gt;=3,D56&gt;=3,E56&gt;=3),"Loyal Customers",IF(AND(C56&lt;=2,OR(D56&gt;=3,E56&gt;=3,'Customer Response Tracker'!J56="Yes")),"At-Risk Customers",IF(C56&gt;=4,"Potential Loyalists","Inactive / Low Engagement"))))</f>
        <v>Inactive / Low Engagement</v>
      </c>
      <c r="G56" s="11" t="str">
        <f t="shared" si="2"/>
        <v>Remaining customer group</v>
      </c>
      <c r="H56" s="11" t="str">
        <f t="shared" si="3"/>
        <v>Low-cost reactivation / selective offers</v>
      </c>
    </row>
    <row r="57" spans="1:8" ht="15" customHeight="1" x14ac:dyDescent="0.3">
      <c r="A57" s="11" t="str">
        <f>'RFM Analysis'!A57</f>
        <v>M053</v>
      </c>
      <c r="B57" s="11">
        <f>'RFM Analysis'!I57</f>
        <v>8</v>
      </c>
      <c r="C57" s="11">
        <f>'RFM Analysis'!D57</f>
        <v>3</v>
      </c>
      <c r="D57" s="11">
        <f>'RFM Analysis'!F57</f>
        <v>3</v>
      </c>
      <c r="E57" s="11">
        <f>'RFM Analysis'!H57</f>
        <v>2</v>
      </c>
      <c r="F57" s="11" t="str">
        <f>IF(AND(C57&gt;=4,D57&gt;=4,E57&gt;=4),"Champions / Highly Loyal",IF(AND(C57&gt;=3,D57&gt;=3,E57&gt;=3),"Loyal Customers",IF(AND(C57&lt;=2,OR(D57&gt;=3,E57&gt;=3,'Customer Response Tracker'!J57="Yes")),"At-Risk Customers",IF(C57&gt;=4,"Potential Loyalists","Inactive / Low Engagement"))))</f>
        <v>Inactive / Low Engagement</v>
      </c>
      <c r="G57" s="11" t="str">
        <f t="shared" si="2"/>
        <v>Remaining customer group</v>
      </c>
      <c r="H57" s="11" t="str">
        <f t="shared" si="3"/>
        <v>Low-cost reactivation / selective offers</v>
      </c>
    </row>
    <row r="58" spans="1:8" ht="15" customHeight="1" x14ac:dyDescent="0.3">
      <c r="A58" s="11" t="str">
        <f>'RFM Analysis'!A58</f>
        <v>M054</v>
      </c>
      <c r="B58" s="11">
        <f>'RFM Analysis'!I58</f>
        <v>13</v>
      </c>
      <c r="C58" s="11">
        <f>'RFM Analysis'!D58</f>
        <v>4</v>
      </c>
      <c r="D58" s="11">
        <f>'RFM Analysis'!F58</f>
        <v>4</v>
      </c>
      <c r="E58" s="11">
        <f>'RFM Analysis'!H58</f>
        <v>5</v>
      </c>
      <c r="F58" s="11" t="str">
        <f>IF(AND(C58&gt;=4,D58&gt;=4,E58&gt;=4),"Champions / Highly Loyal",IF(AND(C58&gt;=3,D58&gt;=3,E58&gt;=3),"Loyal Customers",IF(AND(C58&lt;=2,OR(D58&gt;=3,E58&gt;=3,'Customer Response Tracker'!J58="Yes")),"At-Risk Customers",IF(C58&gt;=4,"Potential Loyalists","Inactive / Low Engagement"))))</f>
        <v>Champions / Highly Loyal</v>
      </c>
      <c r="G58" s="11" t="str">
        <f t="shared" si="2"/>
        <v>R, F and M all ≥4</v>
      </c>
      <c r="H58" s="11" t="str">
        <f t="shared" si="3"/>
        <v>Advocacy, recognition and premium loyalty</v>
      </c>
    </row>
    <row r="59" spans="1:8" ht="15" customHeight="1" x14ac:dyDescent="0.3">
      <c r="A59" s="11" t="str">
        <f>'RFM Analysis'!A59</f>
        <v>M055</v>
      </c>
      <c r="B59" s="11">
        <f>'RFM Analysis'!I59</f>
        <v>9</v>
      </c>
      <c r="C59" s="11">
        <f>'RFM Analysis'!D59</f>
        <v>3</v>
      </c>
      <c r="D59" s="11">
        <f>'RFM Analysis'!F59</f>
        <v>4</v>
      </c>
      <c r="E59" s="11">
        <f>'RFM Analysis'!H59</f>
        <v>2</v>
      </c>
      <c r="F59" s="11" t="str">
        <f>IF(AND(C59&gt;=4,D59&gt;=4,E59&gt;=4),"Champions / Highly Loyal",IF(AND(C59&gt;=3,D59&gt;=3,E59&gt;=3),"Loyal Customers",IF(AND(C59&lt;=2,OR(D59&gt;=3,E59&gt;=3,'Customer Response Tracker'!J59="Yes")),"At-Risk Customers",IF(C59&gt;=4,"Potential Loyalists","Inactive / Low Engagement"))))</f>
        <v>Inactive / Low Engagement</v>
      </c>
      <c r="G59" s="11" t="str">
        <f t="shared" si="2"/>
        <v>Remaining customer group</v>
      </c>
      <c r="H59" s="11" t="str">
        <f t="shared" si="3"/>
        <v>Low-cost reactivation / selective offers</v>
      </c>
    </row>
    <row r="60" spans="1:8" ht="15" customHeight="1" x14ac:dyDescent="0.3">
      <c r="A60" s="11" t="str">
        <f>'RFM Analysis'!A60</f>
        <v>M056</v>
      </c>
      <c r="B60" s="11">
        <f>'RFM Analysis'!I60</f>
        <v>4</v>
      </c>
      <c r="C60" s="11">
        <f>'RFM Analysis'!D60</f>
        <v>2</v>
      </c>
      <c r="D60" s="11">
        <f>'RFM Analysis'!F60</f>
        <v>1</v>
      </c>
      <c r="E60" s="11">
        <f>'RFM Analysis'!H60</f>
        <v>1</v>
      </c>
      <c r="F60" s="11" t="str">
        <f>IF(AND(C60&gt;=4,D60&gt;=4,E60&gt;=4),"Champions / Highly Loyal",IF(AND(C60&gt;=3,D60&gt;=3,E60&gt;=3),"Loyal Customers",IF(AND(C60&lt;=2,OR(D60&gt;=3,E60&gt;=3,'Customer Response Tracker'!J60="Yes")),"At-Risk Customers",IF(C60&gt;=4,"Potential Loyalists","Inactive / Low Engagement"))))</f>
        <v>At-Risk Customers</v>
      </c>
      <c r="G60" s="11" t="str">
        <f t="shared" si="2"/>
        <v>R≤2 and F≥3 or M≥3 or self-reported decline</v>
      </c>
      <c r="H60" s="11" t="str">
        <f t="shared" si="3"/>
        <v>Personalized win-back and service recovery</v>
      </c>
    </row>
    <row r="61" spans="1:8" ht="15" customHeight="1" x14ac:dyDescent="0.3">
      <c r="A61" s="11" t="str">
        <f>'RFM Analysis'!A61</f>
        <v>M057</v>
      </c>
      <c r="B61" s="11">
        <f>'RFM Analysis'!I61</f>
        <v>13</v>
      </c>
      <c r="C61" s="11">
        <f>'RFM Analysis'!D61</f>
        <v>5</v>
      </c>
      <c r="D61" s="11">
        <f>'RFM Analysis'!F61</f>
        <v>4</v>
      </c>
      <c r="E61" s="11">
        <f>'RFM Analysis'!H61</f>
        <v>4</v>
      </c>
      <c r="F61" s="11" t="str">
        <f>IF(AND(C61&gt;=4,D61&gt;=4,E61&gt;=4),"Champions / Highly Loyal",IF(AND(C61&gt;=3,D61&gt;=3,E61&gt;=3),"Loyal Customers",IF(AND(C61&lt;=2,OR(D61&gt;=3,E61&gt;=3,'Customer Response Tracker'!J61="Yes")),"At-Risk Customers",IF(C61&gt;=4,"Potential Loyalists","Inactive / Low Engagement"))))</f>
        <v>Champions / Highly Loyal</v>
      </c>
      <c r="G61" s="11" t="str">
        <f t="shared" si="2"/>
        <v>R, F and M all ≥4</v>
      </c>
      <c r="H61" s="11" t="str">
        <f t="shared" si="3"/>
        <v>Advocacy, recognition and premium loyalty</v>
      </c>
    </row>
    <row r="62" spans="1:8" ht="15" customHeight="1" x14ac:dyDescent="0.3">
      <c r="A62" s="11" t="str">
        <f>'RFM Analysis'!A62</f>
        <v>M058</v>
      </c>
      <c r="B62" s="11">
        <f>'RFM Analysis'!I62</f>
        <v>11</v>
      </c>
      <c r="C62" s="11">
        <f>'RFM Analysis'!D62</f>
        <v>4</v>
      </c>
      <c r="D62" s="11">
        <f>'RFM Analysis'!F62</f>
        <v>4</v>
      </c>
      <c r="E62" s="11">
        <f>'RFM Analysis'!H62</f>
        <v>3</v>
      </c>
      <c r="F62" s="11" t="str">
        <f>IF(AND(C62&gt;=4,D62&gt;=4,E62&gt;=4),"Champions / Highly Loyal",IF(AND(C62&gt;=3,D62&gt;=3,E62&gt;=3),"Loyal Customers",IF(AND(C62&lt;=2,OR(D62&gt;=3,E62&gt;=3,'Customer Response Tracker'!J62="Yes")),"At-Risk Customers",IF(C62&gt;=4,"Potential Loyalists","Inactive / Low Engagement"))))</f>
        <v>Loyal Customers</v>
      </c>
      <c r="G62" s="11" t="str">
        <f t="shared" si="2"/>
        <v>R, F and M all ≥3, but not Champion</v>
      </c>
      <c r="H62" s="11" t="str">
        <f t="shared" si="3"/>
        <v>Cross-sell, bundles and loyalty</v>
      </c>
    </row>
    <row r="63" spans="1:8" ht="15" customHeight="1" x14ac:dyDescent="0.3">
      <c r="A63" s="11" t="str">
        <f>'RFM Analysis'!A63</f>
        <v>M059</v>
      </c>
      <c r="B63" s="11">
        <f>'RFM Analysis'!I63</f>
        <v>9</v>
      </c>
      <c r="C63" s="11">
        <f>'RFM Analysis'!D63</f>
        <v>3</v>
      </c>
      <c r="D63" s="11">
        <f>'RFM Analysis'!F63</f>
        <v>3</v>
      </c>
      <c r="E63" s="11">
        <f>'RFM Analysis'!H63</f>
        <v>3</v>
      </c>
      <c r="F63" s="11" t="str">
        <f>IF(AND(C63&gt;=4,D63&gt;=4,E63&gt;=4),"Champions / Highly Loyal",IF(AND(C63&gt;=3,D63&gt;=3,E63&gt;=3),"Loyal Customers",IF(AND(C63&lt;=2,OR(D63&gt;=3,E63&gt;=3,'Customer Response Tracker'!J63="Yes")),"At-Risk Customers",IF(C63&gt;=4,"Potential Loyalists","Inactive / Low Engagement"))))</f>
        <v>Loyal Customers</v>
      </c>
      <c r="G63" s="11" t="str">
        <f t="shared" si="2"/>
        <v>R, F and M all ≥3, but not Champion</v>
      </c>
      <c r="H63" s="11" t="str">
        <f t="shared" si="3"/>
        <v>Cross-sell, bundles and loyalty</v>
      </c>
    </row>
    <row r="64" spans="1:8" ht="15" customHeight="1" x14ac:dyDescent="0.3">
      <c r="A64" s="11" t="str">
        <f>'RFM Analysis'!A64</f>
        <v>M060</v>
      </c>
      <c r="B64" s="11">
        <f>'RFM Analysis'!I64</f>
        <v>12</v>
      </c>
      <c r="C64" s="11">
        <f>'RFM Analysis'!D64</f>
        <v>5</v>
      </c>
      <c r="D64" s="11">
        <f>'RFM Analysis'!F64</f>
        <v>4</v>
      </c>
      <c r="E64" s="11">
        <f>'RFM Analysis'!H64</f>
        <v>3</v>
      </c>
      <c r="F64" s="11" t="str">
        <f>IF(AND(C64&gt;=4,D64&gt;=4,E64&gt;=4),"Champions / Highly Loyal",IF(AND(C64&gt;=3,D64&gt;=3,E64&gt;=3),"Loyal Customers",IF(AND(C64&lt;=2,OR(D64&gt;=3,E64&gt;=3,'Customer Response Tracker'!J64="Yes")),"At-Risk Customers",IF(C64&gt;=4,"Potential Loyalists","Inactive / Low Engagement"))))</f>
        <v>Loyal Customers</v>
      </c>
      <c r="G64" s="11" t="str">
        <f t="shared" si="2"/>
        <v>R, F and M all ≥3, but not Champion</v>
      </c>
      <c r="H64" s="11" t="str">
        <f t="shared" si="3"/>
        <v>Cross-sell, bundles and loyalty</v>
      </c>
    </row>
    <row r="65" spans="1:8" ht="15" customHeight="1" x14ac:dyDescent="0.3">
      <c r="A65" s="11" t="str">
        <f>'RFM Analysis'!A65</f>
        <v>M061</v>
      </c>
      <c r="B65" s="11">
        <f>'RFM Analysis'!I65</f>
        <v>9</v>
      </c>
      <c r="C65" s="11">
        <f>'RFM Analysis'!D65</f>
        <v>2</v>
      </c>
      <c r="D65" s="11">
        <f>'RFM Analysis'!F65</f>
        <v>2</v>
      </c>
      <c r="E65" s="11">
        <f>'RFM Analysis'!H65</f>
        <v>5</v>
      </c>
      <c r="F65" s="11" t="str">
        <f>IF(AND(C65&gt;=4,D65&gt;=4,E65&gt;=4),"Champions / Highly Loyal",IF(AND(C65&gt;=3,D65&gt;=3,E65&gt;=3),"Loyal Customers",IF(AND(C65&lt;=2,OR(D65&gt;=3,E65&gt;=3,'Customer Response Tracker'!J65="Yes")),"At-Risk Customers",IF(C65&gt;=4,"Potential Loyalists","Inactive / Low Engagement"))))</f>
        <v>At-Risk Customers</v>
      </c>
      <c r="G65" s="11" t="str">
        <f t="shared" si="2"/>
        <v>R≤2 and F≥3 or M≥3 or self-reported decline</v>
      </c>
      <c r="H65" s="11" t="str">
        <f t="shared" si="3"/>
        <v>Personalized win-back and service recovery</v>
      </c>
    </row>
    <row r="66" spans="1:8" ht="15" customHeight="1" x14ac:dyDescent="0.3">
      <c r="A66" s="11" t="str">
        <f>'RFM Analysis'!A66</f>
        <v>M062</v>
      </c>
      <c r="B66" s="11">
        <f>'RFM Analysis'!I66</f>
        <v>8</v>
      </c>
      <c r="C66" s="11">
        <f>'RFM Analysis'!D66</f>
        <v>3</v>
      </c>
      <c r="D66" s="11">
        <f>'RFM Analysis'!F66</f>
        <v>4</v>
      </c>
      <c r="E66" s="11">
        <f>'RFM Analysis'!H66</f>
        <v>1</v>
      </c>
      <c r="F66" s="11" t="str">
        <f>IF(AND(C66&gt;=4,D66&gt;=4,E66&gt;=4),"Champions / Highly Loyal",IF(AND(C66&gt;=3,D66&gt;=3,E66&gt;=3),"Loyal Customers",IF(AND(C66&lt;=2,OR(D66&gt;=3,E66&gt;=3,'Customer Response Tracker'!J66="Yes")),"At-Risk Customers",IF(C66&gt;=4,"Potential Loyalists","Inactive / Low Engagement"))))</f>
        <v>Inactive / Low Engagement</v>
      </c>
      <c r="G66" s="11" t="str">
        <f t="shared" si="2"/>
        <v>Remaining customer group</v>
      </c>
      <c r="H66" s="11" t="str">
        <f t="shared" si="3"/>
        <v>Low-cost reactivation / selective offers</v>
      </c>
    </row>
    <row r="67" spans="1:8" ht="15" customHeight="1" x14ac:dyDescent="0.3">
      <c r="A67" s="11" t="str">
        <f>'RFM Analysis'!A67</f>
        <v>M063</v>
      </c>
      <c r="B67" s="11">
        <f>'RFM Analysis'!I67</f>
        <v>9</v>
      </c>
      <c r="C67" s="11">
        <f>'RFM Analysis'!D67</f>
        <v>1</v>
      </c>
      <c r="D67" s="11">
        <f>'RFM Analysis'!F67</f>
        <v>3</v>
      </c>
      <c r="E67" s="11">
        <f>'RFM Analysis'!H67</f>
        <v>5</v>
      </c>
      <c r="F67" s="11" t="str">
        <f>IF(AND(C67&gt;=4,D67&gt;=4,E67&gt;=4),"Champions / Highly Loyal",IF(AND(C67&gt;=3,D67&gt;=3,E67&gt;=3),"Loyal Customers",IF(AND(C67&lt;=2,OR(D67&gt;=3,E67&gt;=3,'Customer Response Tracker'!J67="Yes")),"At-Risk Customers",IF(C67&gt;=4,"Potential Loyalists","Inactive / Low Engagement"))))</f>
        <v>At-Risk Customers</v>
      </c>
      <c r="G67" s="11" t="str">
        <f t="shared" si="2"/>
        <v>R≤2 and F≥3 or M≥3 or self-reported decline</v>
      </c>
      <c r="H67" s="11" t="str">
        <f t="shared" si="3"/>
        <v>Personalized win-back and service recovery</v>
      </c>
    </row>
    <row r="68" spans="1:8" ht="15" customHeight="1" x14ac:dyDescent="0.3">
      <c r="A68" s="11" t="str">
        <f>'RFM Analysis'!A68</f>
        <v>M064</v>
      </c>
      <c r="B68" s="11">
        <f>'RFM Analysis'!I68</f>
        <v>11</v>
      </c>
      <c r="C68" s="11">
        <f>'RFM Analysis'!D68</f>
        <v>3</v>
      </c>
      <c r="D68" s="11">
        <f>'RFM Analysis'!F68</f>
        <v>4</v>
      </c>
      <c r="E68" s="11">
        <f>'RFM Analysis'!H68</f>
        <v>4</v>
      </c>
      <c r="F68" s="11" t="str">
        <f>IF(AND(C68&gt;=4,D68&gt;=4,E68&gt;=4),"Champions / Highly Loyal",IF(AND(C68&gt;=3,D68&gt;=3,E68&gt;=3),"Loyal Customers",IF(AND(C68&lt;=2,OR(D68&gt;=3,E68&gt;=3,'Customer Response Tracker'!J68="Yes")),"At-Risk Customers",IF(C68&gt;=4,"Potential Loyalists","Inactive / Low Engagement"))))</f>
        <v>Loyal Customers</v>
      </c>
      <c r="G68" s="11" t="str">
        <f t="shared" si="2"/>
        <v>R, F and M all ≥3, but not Champion</v>
      </c>
      <c r="H68" s="11" t="str">
        <f t="shared" si="3"/>
        <v>Cross-sell, bundles and loyalty</v>
      </c>
    </row>
    <row r="69" spans="1:8" ht="15" customHeight="1" x14ac:dyDescent="0.3">
      <c r="A69" s="11" t="str">
        <f>'RFM Analysis'!A69</f>
        <v>M065</v>
      </c>
      <c r="B69" s="11">
        <f>'RFM Analysis'!I69</f>
        <v>9</v>
      </c>
      <c r="C69" s="11">
        <f>'RFM Analysis'!D69</f>
        <v>3</v>
      </c>
      <c r="D69" s="11">
        <f>'RFM Analysis'!F69</f>
        <v>2</v>
      </c>
      <c r="E69" s="11">
        <f>'RFM Analysis'!H69</f>
        <v>4</v>
      </c>
      <c r="F69" s="11" t="str">
        <f>IF(AND(C69&gt;=4,D69&gt;=4,E69&gt;=4),"Champions / Highly Loyal",IF(AND(C69&gt;=3,D69&gt;=3,E69&gt;=3),"Loyal Customers",IF(AND(C69&lt;=2,OR(D69&gt;=3,E69&gt;=3,'Customer Response Tracker'!J69="Yes")),"At-Risk Customers",IF(C69&gt;=4,"Potential Loyalists","Inactive / Low Engagement"))))</f>
        <v>Inactive / Low Engagement</v>
      </c>
      <c r="G69" s="11" t="str">
        <f t="shared" ref="G69:G84" si="4">IF(F69="Champions / Highly Loyal","R, F and M all ≥4",IF(F69="Loyal Customers","R, F and M all ≥3, but not Champion",IF(F69="At-Risk Customers","R≤2 and F≥3 or M≥3 or self-reported decline","Remaining customer group")))</f>
        <v>Remaining customer group</v>
      </c>
      <c r="H69" s="11" t="str">
        <f t="shared" ref="H69:H84" si="5">IF(F69="Champions / Highly Loyal","Advocacy, recognition and premium loyalty",IF(F69="Loyal Customers","Cross-sell, bundles and loyalty",IF(F69="Potential Loyalists","Build frequency and basket size",IF(F69="At-Risk Customers","Personalized win-back and service recovery","Low-cost reactivation / selective offers"))))</f>
        <v>Low-cost reactivation / selective offers</v>
      </c>
    </row>
    <row r="70" spans="1:8" ht="15" customHeight="1" x14ac:dyDescent="0.3">
      <c r="A70" s="11" t="str">
        <f>'RFM Analysis'!A70</f>
        <v>M066</v>
      </c>
      <c r="B70" s="11">
        <f>'RFM Analysis'!I70</f>
        <v>9</v>
      </c>
      <c r="C70" s="11">
        <f>'RFM Analysis'!D70</f>
        <v>3</v>
      </c>
      <c r="D70" s="11">
        <f>'RFM Analysis'!F70</f>
        <v>5</v>
      </c>
      <c r="E70" s="11">
        <f>'RFM Analysis'!H70</f>
        <v>1</v>
      </c>
      <c r="F70" s="11" t="str">
        <f>IF(AND(C70&gt;=4,D70&gt;=4,E70&gt;=4),"Champions / Highly Loyal",IF(AND(C70&gt;=3,D70&gt;=3,E70&gt;=3),"Loyal Customers",IF(AND(C70&lt;=2,OR(D70&gt;=3,E70&gt;=3,'Customer Response Tracker'!J70="Yes")),"At-Risk Customers",IF(C70&gt;=4,"Potential Loyalists","Inactive / Low Engagement"))))</f>
        <v>Inactive / Low Engagement</v>
      </c>
      <c r="G70" s="11" t="str">
        <f t="shared" si="4"/>
        <v>Remaining customer group</v>
      </c>
      <c r="H70" s="11" t="str">
        <f t="shared" si="5"/>
        <v>Low-cost reactivation / selective offers</v>
      </c>
    </row>
    <row r="71" spans="1:8" ht="15" customHeight="1" x14ac:dyDescent="0.3">
      <c r="A71" s="11" t="str">
        <f>'RFM Analysis'!A71</f>
        <v>M067</v>
      </c>
      <c r="B71" s="11">
        <f>'RFM Analysis'!I71</f>
        <v>13</v>
      </c>
      <c r="C71" s="11">
        <f>'RFM Analysis'!D71</f>
        <v>4</v>
      </c>
      <c r="D71" s="11">
        <f>'RFM Analysis'!F71</f>
        <v>5</v>
      </c>
      <c r="E71" s="11">
        <f>'RFM Analysis'!H71</f>
        <v>4</v>
      </c>
      <c r="F71" s="11" t="str">
        <f>IF(AND(C71&gt;=4,D71&gt;=4,E71&gt;=4),"Champions / Highly Loyal",IF(AND(C71&gt;=3,D71&gt;=3,E71&gt;=3),"Loyal Customers",IF(AND(C71&lt;=2,OR(D71&gt;=3,E71&gt;=3,'Customer Response Tracker'!J71="Yes")),"At-Risk Customers",IF(C71&gt;=4,"Potential Loyalists","Inactive / Low Engagement"))))</f>
        <v>Champions / Highly Loyal</v>
      </c>
      <c r="G71" s="11" t="str">
        <f t="shared" si="4"/>
        <v>R, F and M all ≥4</v>
      </c>
      <c r="H71" s="11" t="str">
        <f t="shared" si="5"/>
        <v>Advocacy, recognition and premium loyalty</v>
      </c>
    </row>
    <row r="72" spans="1:8" ht="15" customHeight="1" x14ac:dyDescent="0.3">
      <c r="A72" s="11" t="str">
        <f>'RFM Analysis'!A72</f>
        <v>M068</v>
      </c>
      <c r="B72" s="11">
        <f>'RFM Analysis'!I72</f>
        <v>9</v>
      </c>
      <c r="C72" s="11">
        <f>'RFM Analysis'!D72</f>
        <v>3</v>
      </c>
      <c r="D72" s="11">
        <f>'RFM Analysis'!F72</f>
        <v>5</v>
      </c>
      <c r="E72" s="11">
        <f>'RFM Analysis'!H72</f>
        <v>1</v>
      </c>
      <c r="F72" s="11" t="str">
        <f>IF(AND(C72&gt;=4,D72&gt;=4,E72&gt;=4),"Champions / Highly Loyal",IF(AND(C72&gt;=3,D72&gt;=3,E72&gt;=3),"Loyal Customers",IF(AND(C72&lt;=2,OR(D72&gt;=3,E72&gt;=3,'Customer Response Tracker'!J72="Yes")),"At-Risk Customers",IF(C72&gt;=4,"Potential Loyalists","Inactive / Low Engagement"))))</f>
        <v>Inactive / Low Engagement</v>
      </c>
      <c r="G72" s="11" t="str">
        <f t="shared" si="4"/>
        <v>Remaining customer group</v>
      </c>
      <c r="H72" s="11" t="str">
        <f t="shared" si="5"/>
        <v>Low-cost reactivation / selective offers</v>
      </c>
    </row>
    <row r="73" spans="1:8" ht="15" customHeight="1" x14ac:dyDescent="0.3">
      <c r="A73" s="11" t="str">
        <f>'RFM Analysis'!A73</f>
        <v>M069</v>
      </c>
      <c r="B73" s="11">
        <f>'RFM Analysis'!I73</f>
        <v>13</v>
      </c>
      <c r="C73" s="11">
        <f>'RFM Analysis'!D73</f>
        <v>5</v>
      </c>
      <c r="D73" s="11">
        <f>'RFM Analysis'!F73</f>
        <v>5</v>
      </c>
      <c r="E73" s="11">
        <f>'RFM Analysis'!H73</f>
        <v>3</v>
      </c>
      <c r="F73" s="11" t="str">
        <f>IF(AND(C73&gt;=4,D73&gt;=4,E73&gt;=4),"Champions / Highly Loyal",IF(AND(C73&gt;=3,D73&gt;=3,E73&gt;=3),"Loyal Customers",IF(AND(C73&lt;=2,OR(D73&gt;=3,E73&gt;=3,'Customer Response Tracker'!J73="Yes")),"At-Risk Customers",IF(C73&gt;=4,"Potential Loyalists","Inactive / Low Engagement"))))</f>
        <v>Loyal Customers</v>
      </c>
      <c r="G73" s="11" t="str">
        <f t="shared" si="4"/>
        <v>R, F and M all ≥3, but not Champion</v>
      </c>
      <c r="H73" s="11" t="str">
        <f t="shared" si="5"/>
        <v>Cross-sell, bundles and loyalty</v>
      </c>
    </row>
    <row r="74" spans="1:8" ht="15" customHeight="1" x14ac:dyDescent="0.3">
      <c r="A74" s="11" t="str">
        <f>'RFM Analysis'!A74</f>
        <v>M070</v>
      </c>
      <c r="B74" s="11">
        <f>'RFM Analysis'!I74</f>
        <v>6</v>
      </c>
      <c r="C74" s="11">
        <f>'RFM Analysis'!D74</f>
        <v>1</v>
      </c>
      <c r="D74" s="11">
        <f>'RFM Analysis'!F74</f>
        <v>2</v>
      </c>
      <c r="E74" s="11">
        <f>'RFM Analysis'!H74</f>
        <v>3</v>
      </c>
      <c r="F74" s="11" t="str">
        <f>IF(AND(C74&gt;=4,D74&gt;=4,E74&gt;=4),"Champions / Highly Loyal",IF(AND(C74&gt;=3,D74&gt;=3,E74&gt;=3),"Loyal Customers",IF(AND(C74&lt;=2,OR(D74&gt;=3,E74&gt;=3,'Customer Response Tracker'!J74="Yes")),"At-Risk Customers",IF(C74&gt;=4,"Potential Loyalists","Inactive / Low Engagement"))))</f>
        <v>At-Risk Customers</v>
      </c>
      <c r="G74" s="11" t="str">
        <f t="shared" si="4"/>
        <v>R≤2 and F≥3 or M≥3 or self-reported decline</v>
      </c>
      <c r="H74" s="11" t="str">
        <f t="shared" si="5"/>
        <v>Personalized win-back and service recovery</v>
      </c>
    </row>
    <row r="75" spans="1:8" ht="15" customHeight="1" x14ac:dyDescent="0.3">
      <c r="A75" s="11" t="str">
        <f>'RFM Analysis'!A75</f>
        <v>M071</v>
      </c>
      <c r="B75" s="11">
        <f>'RFM Analysis'!I75</f>
        <v>11</v>
      </c>
      <c r="C75" s="11">
        <f>'RFM Analysis'!D75</f>
        <v>4</v>
      </c>
      <c r="D75" s="11">
        <f>'RFM Analysis'!F75</f>
        <v>5</v>
      </c>
      <c r="E75" s="11">
        <f>'RFM Analysis'!H75</f>
        <v>2</v>
      </c>
      <c r="F75" s="11" t="str">
        <f>IF(AND(C75&gt;=4,D75&gt;=4,E75&gt;=4),"Champions / Highly Loyal",IF(AND(C75&gt;=3,D75&gt;=3,E75&gt;=3),"Loyal Customers",IF(AND(C75&lt;=2,OR(D75&gt;=3,E75&gt;=3,'Customer Response Tracker'!J75="Yes")),"At-Risk Customers",IF(C75&gt;=4,"Potential Loyalists","Inactive / Low Engagement"))))</f>
        <v>Potential Loyalists</v>
      </c>
      <c r="G75" s="11" t="str">
        <f t="shared" si="4"/>
        <v>Remaining customer group</v>
      </c>
      <c r="H75" s="11" t="str">
        <f t="shared" si="5"/>
        <v>Build frequency and basket size</v>
      </c>
    </row>
    <row r="76" spans="1:8" ht="15" customHeight="1" x14ac:dyDescent="0.3">
      <c r="A76" s="11" t="str">
        <f>'RFM Analysis'!A76</f>
        <v>M072</v>
      </c>
      <c r="B76" s="11">
        <f>'RFM Analysis'!I76</f>
        <v>11</v>
      </c>
      <c r="C76" s="11">
        <f>'RFM Analysis'!D76</f>
        <v>4</v>
      </c>
      <c r="D76" s="11">
        <f>'RFM Analysis'!F76</f>
        <v>5</v>
      </c>
      <c r="E76" s="11">
        <f>'RFM Analysis'!H76</f>
        <v>2</v>
      </c>
      <c r="F76" s="11" t="str">
        <f>IF(AND(C76&gt;=4,D76&gt;=4,E76&gt;=4),"Champions / Highly Loyal",IF(AND(C76&gt;=3,D76&gt;=3,E76&gt;=3),"Loyal Customers",IF(AND(C76&lt;=2,OR(D76&gt;=3,E76&gt;=3,'Customer Response Tracker'!J76="Yes")),"At-Risk Customers",IF(C76&gt;=4,"Potential Loyalists","Inactive / Low Engagement"))))</f>
        <v>Potential Loyalists</v>
      </c>
      <c r="G76" s="11" t="str">
        <f t="shared" si="4"/>
        <v>Remaining customer group</v>
      </c>
      <c r="H76" s="11" t="str">
        <f t="shared" si="5"/>
        <v>Build frequency and basket size</v>
      </c>
    </row>
    <row r="77" spans="1:8" ht="15" customHeight="1" x14ac:dyDescent="0.3">
      <c r="A77" s="11" t="str">
        <f>'RFM Analysis'!A77</f>
        <v>M073</v>
      </c>
      <c r="B77" s="11">
        <f>'RFM Analysis'!I77</f>
        <v>10</v>
      </c>
      <c r="C77" s="11">
        <f>'RFM Analysis'!D77</f>
        <v>3</v>
      </c>
      <c r="D77" s="11">
        <f>'RFM Analysis'!F77</f>
        <v>3</v>
      </c>
      <c r="E77" s="11">
        <f>'RFM Analysis'!H77</f>
        <v>4</v>
      </c>
      <c r="F77" s="11" t="str">
        <f>IF(AND(C77&gt;=4,D77&gt;=4,E77&gt;=4),"Champions / Highly Loyal",IF(AND(C77&gt;=3,D77&gt;=3,E77&gt;=3),"Loyal Customers",IF(AND(C77&lt;=2,OR(D77&gt;=3,E77&gt;=3,'Customer Response Tracker'!J77="Yes")),"At-Risk Customers",IF(C77&gt;=4,"Potential Loyalists","Inactive / Low Engagement"))))</f>
        <v>Loyal Customers</v>
      </c>
      <c r="G77" s="11" t="str">
        <f t="shared" si="4"/>
        <v>R, F and M all ≥3, but not Champion</v>
      </c>
      <c r="H77" s="11" t="str">
        <f t="shared" si="5"/>
        <v>Cross-sell, bundles and loyalty</v>
      </c>
    </row>
    <row r="78" spans="1:8" ht="15" customHeight="1" x14ac:dyDescent="0.3">
      <c r="A78" s="11" t="str">
        <f>'RFM Analysis'!A78</f>
        <v>M074</v>
      </c>
      <c r="B78" s="11">
        <f>'RFM Analysis'!I78</f>
        <v>8</v>
      </c>
      <c r="C78" s="11">
        <f>'RFM Analysis'!D78</f>
        <v>3</v>
      </c>
      <c r="D78" s="11">
        <f>'RFM Analysis'!F78</f>
        <v>4</v>
      </c>
      <c r="E78" s="11">
        <f>'RFM Analysis'!H78</f>
        <v>1</v>
      </c>
      <c r="F78" s="11" t="str">
        <f>IF(AND(C78&gt;=4,D78&gt;=4,E78&gt;=4),"Champions / Highly Loyal",IF(AND(C78&gt;=3,D78&gt;=3,E78&gt;=3),"Loyal Customers",IF(AND(C78&lt;=2,OR(D78&gt;=3,E78&gt;=3,'Customer Response Tracker'!J78="Yes")),"At-Risk Customers",IF(C78&gt;=4,"Potential Loyalists","Inactive / Low Engagement"))))</f>
        <v>Inactive / Low Engagement</v>
      </c>
      <c r="G78" s="11" t="str">
        <f t="shared" si="4"/>
        <v>Remaining customer group</v>
      </c>
      <c r="H78" s="11" t="str">
        <f t="shared" si="5"/>
        <v>Low-cost reactivation / selective offers</v>
      </c>
    </row>
    <row r="79" spans="1:8" ht="15" customHeight="1" x14ac:dyDescent="0.3">
      <c r="A79" s="11" t="str">
        <f>'RFM Analysis'!A79</f>
        <v>M075</v>
      </c>
      <c r="B79" s="11">
        <f>'RFM Analysis'!I79</f>
        <v>10</v>
      </c>
      <c r="C79" s="11">
        <f>'RFM Analysis'!D79</f>
        <v>4</v>
      </c>
      <c r="D79" s="11">
        <f>'RFM Analysis'!F79</f>
        <v>2</v>
      </c>
      <c r="E79" s="11">
        <f>'RFM Analysis'!H79</f>
        <v>4</v>
      </c>
      <c r="F79" s="11" t="str">
        <f>IF(AND(C79&gt;=4,D79&gt;=4,E79&gt;=4),"Champions / Highly Loyal",IF(AND(C79&gt;=3,D79&gt;=3,E79&gt;=3),"Loyal Customers",IF(AND(C79&lt;=2,OR(D79&gt;=3,E79&gt;=3,'Customer Response Tracker'!J79="Yes")),"At-Risk Customers",IF(C79&gt;=4,"Potential Loyalists","Inactive / Low Engagement"))))</f>
        <v>Potential Loyalists</v>
      </c>
      <c r="G79" s="11" t="str">
        <f t="shared" si="4"/>
        <v>Remaining customer group</v>
      </c>
      <c r="H79" s="11" t="str">
        <f t="shared" si="5"/>
        <v>Build frequency and basket size</v>
      </c>
    </row>
    <row r="80" spans="1:8" ht="15" customHeight="1" x14ac:dyDescent="0.3">
      <c r="A80" s="11" t="str">
        <f>'RFM Analysis'!A80</f>
        <v>M076</v>
      </c>
      <c r="B80" s="11">
        <f>'RFM Analysis'!I80</f>
        <v>10</v>
      </c>
      <c r="C80" s="11">
        <f>'RFM Analysis'!D80</f>
        <v>3</v>
      </c>
      <c r="D80" s="11">
        <f>'RFM Analysis'!F80</f>
        <v>4</v>
      </c>
      <c r="E80" s="11">
        <f>'RFM Analysis'!H80</f>
        <v>3</v>
      </c>
      <c r="F80" s="11" t="str">
        <f>IF(AND(C80&gt;=4,D80&gt;=4,E80&gt;=4),"Champions / Highly Loyal",IF(AND(C80&gt;=3,D80&gt;=3,E80&gt;=3),"Loyal Customers",IF(AND(C80&lt;=2,OR(D80&gt;=3,E80&gt;=3,'Customer Response Tracker'!J80="Yes")),"At-Risk Customers",IF(C80&gt;=4,"Potential Loyalists","Inactive / Low Engagement"))))</f>
        <v>Loyal Customers</v>
      </c>
      <c r="G80" s="11" t="str">
        <f t="shared" si="4"/>
        <v>R, F and M all ≥3, but not Champion</v>
      </c>
      <c r="H80" s="11" t="str">
        <f t="shared" si="5"/>
        <v>Cross-sell, bundles and loyalty</v>
      </c>
    </row>
    <row r="81" spans="1:8" ht="15" customHeight="1" x14ac:dyDescent="0.3">
      <c r="A81" s="11" t="str">
        <f>'RFM Analysis'!A81</f>
        <v>M077</v>
      </c>
      <c r="B81" s="11">
        <f>'RFM Analysis'!I81</f>
        <v>5</v>
      </c>
      <c r="C81" s="11">
        <f>'RFM Analysis'!D81</f>
        <v>1</v>
      </c>
      <c r="D81" s="11">
        <f>'RFM Analysis'!F81</f>
        <v>2</v>
      </c>
      <c r="E81" s="11">
        <f>'RFM Analysis'!H81</f>
        <v>2</v>
      </c>
      <c r="F81" s="11" t="str">
        <f>IF(AND(C81&gt;=4,D81&gt;=4,E81&gt;=4),"Champions / Highly Loyal",IF(AND(C81&gt;=3,D81&gt;=3,E81&gt;=3),"Loyal Customers",IF(AND(C81&lt;=2,OR(D81&gt;=3,E81&gt;=3,'Customer Response Tracker'!J81="Yes")),"At-Risk Customers",IF(C81&gt;=4,"Potential Loyalists","Inactive / Low Engagement"))))</f>
        <v>At-Risk Customers</v>
      </c>
      <c r="G81" s="11" t="str">
        <f t="shared" si="4"/>
        <v>R≤2 and F≥3 or M≥3 or self-reported decline</v>
      </c>
      <c r="H81" s="11" t="str">
        <f t="shared" si="5"/>
        <v>Personalized win-back and service recovery</v>
      </c>
    </row>
    <row r="82" spans="1:8" ht="15" customHeight="1" x14ac:dyDescent="0.3">
      <c r="A82" s="11" t="str">
        <f>'RFM Analysis'!A82</f>
        <v>M078</v>
      </c>
      <c r="B82" s="11">
        <f>'RFM Analysis'!I82</f>
        <v>12</v>
      </c>
      <c r="C82" s="11">
        <f>'RFM Analysis'!D82</f>
        <v>3</v>
      </c>
      <c r="D82" s="11">
        <f>'RFM Analysis'!F82</f>
        <v>4</v>
      </c>
      <c r="E82" s="11">
        <f>'RFM Analysis'!H82</f>
        <v>5</v>
      </c>
      <c r="F82" s="11" t="str">
        <f>IF(AND(C82&gt;=4,D82&gt;=4,E82&gt;=4),"Champions / Highly Loyal",IF(AND(C82&gt;=3,D82&gt;=3,E82&gt;=3),"Loyal Customers",IF(AND(C82&lt;=2,OR(D82&gt;=3,E82&gt;=3,'Customer Response Tracker'!J82="Yes")),"At-Risk Customers",IF(C82&gt;=4,"Potential Loyalists","Inactive / Low Engagement"))))</f>
        <v>Loyal Customers</v>
      </c>
      <c r="G82" s="11" t="str">
        <f t="shared" si="4"/>
        <v>R, F and M all ≥3, but not Champion</v>
      </c>
      <c r="H82" s="11" t="str">
        <f t="shared" si="5"/>
        <v>Cross-sell, bundles and loyalty</v>
      </c>
    </row>
    <row r="83" spans="1:8" ht="15" customHeight="1" x14ac:dyDescent="0.3">
      <c r="A83" s="11" t="str">
        <f>'RFM Analysis'!A83</f>
        <v>M079</v>
      </c>
      <c r="B83" s="11">
        <f>'RFM Analysis'!I83</f>
        <v>11</v>
      </c>
      <c r="C83" s="11">
        <f>'RFM Analysis'!D83</f>
        <v>5</v>
      </c>
      <c r="D83" s="11">
        <f>'RFM Analysis'!F83</f>
        <v>2</v>
      </c>
      <c r="E83" s="11">
        <f>'RFM Analysis'!H83</f>
        <v>4</v>
      </c>
      <c r="F83" s="11" t="str">
        <f>IF(AND(C83&gt;=4,D83&gt;=4,E83&gt;=4),"Champions / Highly Loyal",IF(AND(C83&gt;=3,D83&gt;=3,E83&gt;=3),"Loyal Customers",IF(AND(C83&lt;=2,OR(D83&gt;=3,E83&gt;=3,'Customer Response Tracker'!J83="Yes")),"At-Risk Customers",IF(C83&gt;=4,"Potential Loyalists","Inactive / Low Engagement"))))</f>
        <v>Potential Loyalists</v>
      </c>
      <c r="G83" s="11" t="str">
        <f t="shared" si="4"/>
        <v>Remaining customer group</v>
      </c>
      <c r="H83" s="11" t="str">
        <f t="shared" si="5"/>
        <v>Build frequency and basket size</v>
      </c>
    </row>
    <row r="84" spans="1:8" ht="15" customHeight="1" x14ac:dyDescent="0.3">
      <c r="A84" s="11" t="str">
        <f>'RFM Analysis'!A84</f>
        <v>M080</v>
      </c>
      <c r="B84" s="11">
        <f>'RFM Analysis'!I84</f>
        <v>11</v>
      </c>
      <c r="C84" s="11">
        <f>'RFM Analysis'!D84</f>
        <v>3</v>
      </c>
      <c r="D84" s="11">
        <f>'RFM Analysis'!F84</f>
        <v>5</v>
      </c>
      <c r="E84" s="11">
        <f>'RFM Analysis'!H84</f>
        <v>3</v>
      </c>
      <c r="F84" s="11" t="str">
        <f>IF(AND(C84&gt;=4,D84&gt;=4,E84&gt;=4),"Champions / Highly Loyal",IF(AND(C84&gt;=3,D84&gt;=3,E84&gt;=3),"Loyal Customers",IF(AND(C84&lt;=2,OR(D84&gt;=3,E84&gt;=3,'Customer Response Tracker'!J84="Yes")),"At-Risk Customers",IF(C84&gt;=4,"Potential Loyalists","Inactive / Low Engagement"))))</f>
        <v>Loyal Customers</v>
      </c>
      <c r="G84" s="11" t="str">
        <f t="shared" si="4"/>
        <v>R, F and M all ≥3, but not Champion</v>
      </c>
      <c r="H84" s="11" t="str">
        <f t="shared" si="5"/>
        <v>Cross-sell, bundles and loyalty</v>
      </c>
    </row>
    <row r="85" spans="1:8" ht="15" customHeight="1" x14ac:dyDescent="0.3">
      <c r="A85" s="9"/>
      <c r="B85" s="9"/>
      <c r="C85" s="9"/>
      <c r="D85" s="9"/>
      <c r="E85" s="9"/>
      <c r="F85" s="9"/>
      <c r="G85" s="9"/>
      <c r="H85" s="9"/>
    </row>
    <row r="86" spans="1:8" ht="15" customHeight="1" x14ac:dyDescent="0.3">
      <c r="A86" s="9"/>
      <c r="B86" s="9"/>
      <c r="C86" s="9"/>
      <c r="D86" s="9"/>
      <c r="E86" s="9"/>
      <c r="F86" s="9"/>
      <c r="G86" s="9"/>
      <c r="H86" s="9"/>
    </row>
    <row r="87" spans="1:8" ht="27.75" customHeight="1" x14ac:dyDescent="0.3">
      <c r="A87" s="13" t="s">
        <v>190</v>
      </c>
      <c r="B87" s="13" t="s">
        <v>193</v>
      </c>
      <c r="C87" s="13" t="s">
        <v>194</v>
      </c>
      <c r="D87" s="13"/>
      <c r="E87" s="13"/>
      <c r="F87" s="13"/>
      <c r="G87" s="13"/>
      <c r="H87" s="13"/>
    </row>
    <row r="88" spans="1:8" ht="15" customHeight="1" x14ac:dyDescent="0.3">
      <c r="A88" s="9" t="s">
        <v>195</v>
      </c>
      <c r="B88" s="9">
        <f>COUNTIF($F$5:$F$84,A88)</f>
        <v>9</v>
      </c>
      <c r="C88" s="9">
        <f>B88/COUNTA($A$5:$A$84)</f>
        <v>0.1125</v>
      </c>
      <c r="D88" s="9"/>
      <c r="E88" s="9"/>
      <c r="F88" s="9"/>
      <c r="G88" s="9"/>
      <c r="H88" s="9"/>
    </row>
    <row r="89" spans="1:8" ht="15" customHeight="1" x14ac:dyDescent="0.3">
      <c r="A89" s="9" t="s">
        <v>196</v>
      </c>
      <c r="B89" s="9">
        <f>COUNTIF($F$5:$F$84,A89)</f>
        <v>20</v>
      </c>
      <c r="C89" s="9">
        <f>B89/COUNTA($A$5:$A$84)</f>
        <v>0.25</v>
      </c>
      <c r="D89" s="9"/>
      <c r="E89" s="9"/>
      <c r="F89" s="9"/>
      <c r="G89" s="9"/>
      <c r="H89" s="9"/>
    </row>
    <row r="90" spans="1:8" ht="15" customHeight="1" x14ac:dyDescent="0.3">
      <c r="A90" s="9" t="s">
        <v>197</v>
      </c>
      <c r="B90" s="9">
        <f>COUNTIF($F$5:$F$84,A90)</f>
        <v>14</v>
      </c>
      <c r="C90" s="9">
        <f>B90/COUNTA($A$5:$A$84)</f>
        <v>0.17499999999999999</v>
      </c>
      <c r="D90" s="9"/>
      <c r="E90" s="9"/>
      <c r="F90" s="9"/>
      <c r="G90" s="9"/>
      <c r="H90" s="9"/>
    </row>
    <row r="91" spans="1:8" ht="15" customHeight="1" x14ac:dyDescent="0.3">
      <c r="A91" s="9" t="s">
        <v>198</v>
      </c>
      <c r="B91" s="9">
        <f>COUNTIF($F$5:$F$84,A91)</f>
        <v>16</v>
      </c>
      <c r="C91" s="9">
        <f>B91/COUNTA($A$5:$A$84)</f>
        <v>0.2</v>
      </c>
      <c r="D91" s="9"/>
      <c r="E91" s="9"/>
      <c r="F91" s="9"/>
      <c r="G91" s="9"/>
      <c r="H91" s="9"/>
    </row>
    <row r="92" spans="1:8" ht="15" customHeight="1" x14ac:dyDescent="0.3">
      <c r="A92" s="9" t="s">
        <v>199</v>
      </c>
      <c r="B92" s="9">
        <f>COUNTIF($F$5:$F$84,A92)</f>
        <v>21</v>
      </c>
      <c r="C92" s="9">
        <f>B92/COUNTA($A$5:$A$84)</f>
        <v>0.26250000000000001</v>
      </c>
      <c r="D92" s="9"/>
      <c r="E92" s="9"/>
      <c r="F92" s="9"/>
      <c r="G92" s="9"/>
      <c r="H92" s="9"/>
    </row>
    <row r="93" spans="1:8" ht="15" customHeight="1" x14ac:dyDescent="0.3">
      <c r="A93" s="17" t="s">
        <v>200</v>
      </c>
      <c r="B93" s="17">
        <f>SUM(B88:B92)</f>
        <v>80</v>
      </c>
      <c r="C93" s="17">
        <f>SUM(C88:C92)</f>
        <v>1</v>
      </c>
      <c r="D93" s="17"/>
      <c r="E93" s="17"/>
      <c r="F93" s="17"/>
      <c r="G93" s="17"/>
      <c r="H93" s="17"/>
    </row>
  </sheetData>
  <mergeCells count="2">
    <mergeCell ref="A2:H2"/>
    <mergeCell ref="A1:H1"/>
  </mergeCells>
  <pageMargins left="0.25" right="0.25" top="0.5" bottom="0.5" header="0.511811023622047" footer="0.511811023622047"/>
  <pageSetup fitToHeight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90"/>
  <sheetViews>
    <sheetView showGridLines="0" tabSelected="1" zoomScaleNormal="100" workbookViewId="0">
      <pane ySplit="4" topLeftCell="A5" activePane="bottomLeft" state="frozen"/>
      <selection pane="bottomLeft" activeCell="D93" sqref="D93"/>
    </sheetView>
  </sheetViews>
  <sheetFormatPr defaultColWidth="8.6640625" defaultRowHeight="15" customHeight="1" x14ac:dyDescent="0.3"/>
  <cols>
    <col min="1" max="1" width="28" bestFit="1" customWidth="1"/>
    <col min="2" max="3" width="18" customWidth="1"/>
    <col min="4" max="4" width="16" customWidth="1"/>
    <col min="5" max="5" width="14" customWidth="1"/>
    <col min="6" max="6" width="12" customWidth="1"/>
    <col min="7" max="7" width="15" customWidth="1"/>
    <col min="8" max="8" width="48" customWidth="1"/>
    <col min="9" max="9" width="12" customWidth="1"/>
  </cols>
  <sheetData>
    <row r="1" spans="1:9" ht="27.75" customHeight="1" x14ac:dyDescent="0.3">
      <c r="A1" s="26" t="s">
        <v>201</v>
      </c>
      <c r="B1" s="27"/>
      <c r="C1" s="27"/>
      <c r="D1" s="27"/>
      <c r="E1" s="27"/>
      <c r="F1" s="27"/>
      <c r="G1" s="27"/>
      <c r="H1" s="27"/>
      <c r="I1" s="27"/>
    </row>
    <row r="2" spans="1:9" ht="15" customHeight="1" x14ac:dyDescent="0.3">
      <c r="A2" s="33" t="s">
        <v>202</v>
      </c>
      <c r="B2" s="31"/>
      <c r="C2" s="31"/>
      <c r="D2" s="31"/>
      <c r="E2" s="31"/>
      <c r="F2" s="31"/>
      <c r="G2" s="31"/>
      <c r="H2" s="31"/>
      <c r="I2" s="31"/>
    </row>
    <row r="3" spans="1:9" ht="15" customHeight="1" x14ac:dyDescent="0.3">
      <c r="A3" s="9"/>
      <c r="B3" s="9"/>
      <c r="C3" s="9"/>
      <c r="D3" s="9"/>
      <c r="E3" s="9"/>
      <c r="F3" s="9"/>
      <c r="G3" s="9"/>
      <c r="H3" s="9"/>
      <c r="I3" s="9"/>
    </row>
    <row r="4" spans="1:9" ht="27.75" customHeight="1" x14ac:dyDescent="0.3">
      <c r="A4" s="13" t="s">
        <v>23</v>
      </c>
      <c r="B4" s="13" t="s">
        <v>27</v>
      </c>
      <c r="C4" s="13" t="s">
        <v>26</v>
      </c>
      <c r="D4" s="13" t="s">
        <v>28</v>
      </c>
      <c r="E4" s="13" t="s">
        <v>175</v>
      </c>
      <c r="F4" s="13" t="s">
        <v>180</v>
      </c>
      <c r="G4" s="13" t="s">
        <v>203</v>
      </c>
      <c r="H4" s="13" t="s">
        <v>204</v>
      </c>
      <c r="I4" s="13" t="s">
        <v>205</v>
      </c>
    </row>
    <row r="5" spans="1:9" ht="15" customHeight="1" x14ac:dyDescent="0.3">
      <c r="A5" s="11" t="str">
        <f>'Customer Response Tracker'!A5</f>
        <v>M001</v>
      </c>
      <c r="B5" s="11">
        <f>'Customer Response Tracker'!E5</f>
        <v>8</v>
      </c>
      <c r="C5" s="11">
        <f>'Customer Response Tracker'!D5</f>
        <v>5</v>
      </c>
      <c r="D5" s="11">
        <f>'RFM Analysis'!B5</f>
        <v>46263</v>
      </c>
      <c r="E5" s="11">
        <f>'RFM Analysis'!C5</f>
        <v>2</v>
      </c>
      <c r="F5" s="11">
        <f>'RFM Analysis'!I5</f>
        <v>13</v>
      </c>
      <c r="G5" s="11" t="str">
        <f t="shared" ref="G5:G36" si="0">IF(AND(E5&gt;30,B5&gt;=4,C5&lt;B5),"Yes","No")</f>
        <v>No</v>
      </c>
      <c r="H5" s="11" t="str">
        <f t="shared" ref="H5:H36" si="1">IF(G5="Yes","Previously regular customer, now less frequent and inactive for &gt;30 days","Does not meet all three strict criteria")</f>
        <v>Does not meet all three strict criteria</v>
      </c>
      <c r="I5" s="11">
        <f t="shared" ref="I5:I36" si="2">B5-C5</f>
        <v>3</v>
      </c>
    </row>
    <row r="6" spans="1:9" ht="15" customHeight="1" x14ac:dyDescent="0.3">
      <c r="A6" s="11" t="str">
        <f>'Customer Response Tracker'!A6</f>
        <v>M002</v>
      </c>
      <c r="B6" s="11">
        <f>'Customer Response Tracker'!E6</f>
        <v>2</v>
      </c>
      <c r="C6" s="11">
        <f>'Customer Response Tracker'!D6</f>
        <v>1</v>
      </c>
      <c r="D6" s="11">
        <f>'RFM Analysis'!B6</f>
        <v>46261</v>
      </c>
      <c r="E6" s="11">
        <f>'RFM Analysis'!C6</f>
        <v>4</v>
      </c>
      <c r="F6" s="11">
        <f>'RFM Analysis'!I6</f>
        <v>7</v>
      </c>
      <c r="G6" s="11" t="str">
        <f t="shared" si="0"/>
        <v>No</v>
      </c>
      <c r="H6" s="11" t="str">
        <f t="shared" si="1"/>
        <v>Does not meet all three strict criteria</v>
      </c>
      <c r="I6" s="11">
        <f t="shared" si="2"/>
        <v>1</v>
      </c>
    </row>
    <row r="7" spans="1:9" ht="15" customHeight="1" x14ac:dyDescent="0.3">
      <c r="A7" s="11" t="str">
        <f>'Customer Response Tracker'!A7</f>
        <v>M003</v>
      </c>
      <c r="B7" s="11">
        <f>'Customer Response Tracker'!E7</f>
        <v>6</v>
      </c>
      <c r="C7" s="11">
        <f>'Customer Response Tracker'!D7</f>
        <v>1</v>
      </c>
      <c r="D7" s="11">
        <f>'RFM Analysis'!B7</f>
        <v>46233</v>
      </c>
      <c r="E7" s="11">
        <f>'RFM Analysis'!C7</f>
        <v>32</v>
      </c>
      <c r="F7" s="11">
        <f>'RFM Analysis'!I7</f>
        <v>8</v>
      </c>
      <c r="G7" s="11" t="str">
        <f t="shared" si="0"/>
        <v>Yes</v>
      </c>
      <c r="H7" s="11" t="str">
        <f t="shared" si="1"/>
        <v>Previously regular customer, now less frequent and inactive for &gt;30 days</v>
      </c>
      <c r="I7" s="11">
        <f t="shared" si="2"/>
        <v>5</v>
      </c>
    </row>
    <row r="8" spans="1:9" ht="15" customHeight="1" x14ac:dyDescent="0.3">
      <c r="A8" s="11" t="str">
        <f>'Customer Response Tracker'!A8</f>
        <v>M004</v>
      </c>
      <c r="B8" s="11">
        <f>'Customer Response Tracker'!E8</f>
        <v>4</v>
      </c>
      <c r="C8" s="11">
        <f>'Customer Response Tracker'!D8</f>
        <v>6</v>
      </c>
      <c r="D8" s="11">
        <f>'RFM Analysis'!B8</f>
        <v>46253</v>
      </c>
      <c r="E8" s="11">
        <f>'RFM Analysis'!C8</f>
        <v>12</v>
      </c>
      <c r="F8" s="11">
        <f>'RFM Analysis'!I8</f>
        <v>9</v>
      </c>
      <c r="G8" s="11" t="str">
        <f t="shared" si="0"/>
        <v>No</v>
      </c>
      <c r="H8" s="11" t="str">
        <f t="shared" si="1"/>
        <v>Does not meet all three strict criteria</v>
      </c>
      <c r="I8" s="11">
        <f t="shared" si="2"/>
        <v>-2</v>
      </c>
    </row>
    <row r="9" spans="1:9" ht="15" customHeight="1" x14ac:dyDescent="0.3">
      <c r="A9" s="11" t="str">
        <f>'Customer Response Tracker'!A9</f>
        <v>M005</v>
      </c>
      <c r="B9" s="11">
        <f>'Customer Response Tracker'!E9</f>
        <v>3</v>
      </c>
      <c r="C9" s="11">
        <f>'Customer Response Tracker'!D9</f>
        <v>2</v>
      </c>
      <c r="D9" s="11">
        <f>'RFM Analysis'!B9</f>
        <v>46221</v>
      </c>
      <c r="E9" s="11">
        <f>'RFM Analysis'!C9</f>
        <v>44</v>
      </c>
      <c r="F9" s="11">
        <f>'RFM Analysis'!I9</f>
        <v>9</v>
      </c>
      <c r="G9" s="11" t="str">
        <f t="shared" si="0"/>
        <v>No</v>
      </c>
      <c r="H9" s="11" t="str">
        <f t="shared" si="1"/>
        <v>Does not meet all three strict criteria</v>
      </c>
      <c r="I9" s="11">
        <f t="shared" si="2"/>
        <v>1</v>
      </c>
    </row>
    <row r="10" spans="1:9" ht="15" customHeight="1" x14ac:dyDescent="0.3">
      <c r="A10" s="11" t="str">
        <f>'Customer Response Tracker'!A10</f>
        <v>M006</v>
      </c>
      <c r="B10" s="11">
        <f>'Customer Response Tracker'!E10</f>
        <v>2</v>
      </c>
      <c r="C10" s="11">
        <f>'Customer Response Tracker'!D10</f>
        <v>3</v>
      </c>
      <c r="D10" s="11">
        <f>'RFM Analysis'!B10</f>
        <v>46256</v>
      </c>
      <c r="E10" s="11">
        <f>'RFM Analysis'!C10</f>
        <v>9</v>
      </c>
      <c r="F10" s="11">
        <f>'RFM Analysis'!I10</f>
        <v>12</v>
      </c>
      <c r="G10" s="11" t="str">
        <f t="shared" si="0"/>
        <v>No</v>
      </c>
      <c r="H10" s="11" t="str">
        <f t="shared" si="1"/>
        <v>Does not meet all three strict criteria</v>
      </c>
      <c r="I10" s="11">
        <f t="shared" si="2"/>
        <v>-1</v>
      </c>
    </row>
    <row r="11" spans="1:9" ht="15" customHeight="1" x14ac:dyDescent="0.3">
      <c r="A11" s="11" t="str">
        <f>'Customer Response Tracker'!A11</f>
        <v>M007</v>
      </c>
      <c r="B11" s="11">
        <f>'Customer Response Tracker'!E11</f>
        <v>6</v>
      </c>
      <c r="C11" s="11">
        <f>'Customer Response Tracker'!D11</f>
        <v>7</v>
      </c>
      <c r="D11" s="11">
        <f>'RFM Analysis'!B11</f>
        <v>46237</v>
      </c>
      <c r="E11" s="11">
        <f>'RFM Analysis'!C11</f>
        <v>28</v>
      </c>
      <c r="F11" s="11">
        <f>'RFM Analysis'!I11</f>
        <v>10</v>
      </c>
      <c r="G11" s="11" t="str">
        <f t="shared" si="0"/>
        <v>No</v>
      </c>
      <c r="H11" s="11" t="str">
        <f t="shared" si="1"/>
        <v>Does not meet all three strict criteria</v>
      </c>
      <c r="I11" s="11">
        <f t="shared" si="2"/>
        <v>-1</v>
      </c>
    </row>
    <row r="12" spans="1:9" ht="15" customHeight="1" x14ac:dyDescent="0.3">
      <c r="A12" s="11" t="str">
        <f>'Customer Response Tracker'!A12</f>
        <v>M008</v>
      </c>
      <c r="B12" s="11">
        <f>'Customer Response Tracker'!E12</f>
        <v>7</v>
      </c>
      <c r="C12" s="11">
        <f>'Customer Response Tracker'!D12</f>
        <v>1</v>
      </c>
      <c r="D12" s="11">
        <f>'RFM Analysis'!B12</f>
        <v>46232</v>
      </c>
      <c r="E12" s="11">
        <f>'RFM Analysis'!C12</f>
        <v>33</v>
      </c>
      <c r="F12" s="11">
        <f>'RFM Analysis'!I12</f>
        <v>4</v>
      </c>
      <c r="G12" s="11" t="str">
        <f t="shared" si="0"/>
        <v>Yes</v>
      </c>
      <c r="H12" s="11" t="str">
        <f t="shared" si="1"/>
        <v>Previously regular customer, now less frequent and inactive for &gt;30 days</v>
      </c>
      <c r="I12" s="11">
        <f t="shared" si="2"/>
        <v>6</v>
      </c>
    </row>
    <row r="13" spans="1:9" ht="15" customHeight="1" x14ac:dyDescent="0.3">
      <c r="A13" s="11" t="str">
        <f>'Customer Response Tracker'!A13</f>
        <v>M009</v>
      </c>
      <c r="B13" s="11">
        <f>'Customer Response Tracker'!E13</f>
        <v>2</v>
      </c>
      <c r="C13" s="11">
        <f>'Customer Response Tracker'!D13</f>
        <v>4</v>
      </c>
      <c r="D13" s="11">
        <f>'RFM Analysis'!B13</f>
        <v>46253</v>
      </c>
      <c r="E13" s="11">
        <f>'RFM Analysis'!C13</f>
        <v>12</v>
      </c>
      <c r="F13" s="11">
        <f>'RFM Analysis'!I13</f>
        <v>10</v>
      </c>
      <c r="G13" s="11" t="str">
        <f t="shared" si="0"/>
        <v>No</v>
      </c>
      <c r="H13" s="11" t="str">
        <f t="shared" si="1"/>
        <v>Does not meet all three strict criteria</v>
      </c>
      <c r="I13" s="11">
        <f t="shared" si="2"/>
        <v>-2</v>
      </c>
    </row>
    <row r="14" spans="1:9" ht="15" customHeight="1" x14ac:dyDescent="0.3">
      <c r="A14" s="11" t="str">
        <f>'Customer Response Tracker'!A14</f>
        <v>M010</v>
      </c>
      <c r="B14" s="11">
        <f>'Customer Response Tracker'!E14</f>
        <v>5</v>
      </c>
      <c r="C14" s="11">
        <f>'Customer Response Tracker'!D14</f>
        <v>6</v>
      </c>
      <c r="D14" s="11">
        <f>'RFM Analysis'!B14</f>
        <v>46249</v>
      </c>
      <c r="E14" s="11">
        <f>'RFM Analysis'!C14</f>
        <v>16</v>
      </c>
      <c r="F14" s="11">
        <f>'RFM Analysis'!I14</f>
        <v>8</v>
      </c>
      <c r="G14" s="11" t="str">
        <f t="shared" si="0"/>
        <v>No</v>
      </c>
      <c r="H14" s="11" t="str">
        <f t="shared" si="1"/>
        <v>Does not meet all three strict criteria</v>
      </c>
      <c r="I14" s="11">
        <f t="shared" si="2"/>
        <v>-1</v>
      </c>
    </row>
    <row r="15" spans="1:9" ht="15" customHeight="1" x14ac:dyDescent="0.3">
      <c r="A15" s="11" t="str">
        <f>'Customer Response Tracker'!A15</f>
        <v>M011</v>
      </c>
      <c r="B15" s="11">
        <f>'Customer Response Tracker'!E15</f>
        <v>5</v>
      </c>
      <c r="C15" s="11">
        <f>'Customer Response Tracker'!D15</f>
        <v>3</v>
      </c>
      <c r="D15" s="11">
        <f>'RFM Analysis'!B15</f>
        <v>46259</v>
      </c>
      <c r="E15" s="11">
        <f>'RFM Analysis'!C15</f>
        <v>6</v>
      </c>
      <c r="F15" s="11">
        <f>'RFM Analysis'!I15</f>
        <v>11</v>
      </c>
      <c r="G15" s="11" t="str">
        <f t="shared" si="0"/>
        <v>No</v>
      </c>
      <c r="H15" s="11" t="str">
        <f t="shared" si="1"/>
        <v>Does not meet all three strict criteria</v>
      </c>
      <c r="I15" s="11">
        <f t="shared" si="2"/>
        <v>2</v>
      </c>
    </row>
    <row r="16" spans="1:9" ht="15" customHeight="1" x14ac:dyDescent="0.3">
      <c r="A16" s="11" t="str">
        <f>'Customer Response Tracker'!A16</f>
        <v>M012</v>
      </c>
      <c r="B16" s="11">
        <f>'Customer Response Tracker'!E16</f>
        <v>8</v>
      </c>
      <c r="C16" s="11">
        <f>'Customer Response Tracker'!D16</f>
        <v>1</v>
      </c>
      <c r="D16" s="11">
        <f>'RFM Analysis'!B16</f>
        <v>46230</v>
      </c>
      <c r="E16" s="11">
        <f>'RFM Analysis'!C16</f>
        <v>35</v>
      </c>
      <c r="F16" s="11">
        <f>'RFM Analysis'!I16</f>
        <v>4</v>
      </c>
      <c r="G16" s="11" t="str">
        <f t="shared" si="0"/>
        <v>Yes</v>
      </c>
      <c r="H16" s="11" t="str">
        <f t="shared" si="1"/>
        <v>Previously regular customer, now less frequent and inactive for &gt;30 days</v>
      </c>
      <c r="I16" s="11">
        <f t="shared" si="2"/>
        <v>7</v>
      </c>
    </row>
    <row r="17" spans="1:9" ht="15" customHeight="1" x14ac:dyDescent="0.3">
      <c r="A17" s="11" t="str">
        <f>'Customer Response Tracker'!A17</f>
        <v>M013</v>
      </c>
      <c r="B17" s="11">
        <f>'Customer Response Tracker'!E17</f>
        <v>8</v>
      </c>
      <c r="C17" s="11">
        <f>'Customer Response Tracker'!D17</f>
        <v>8</v>
      </c>
      <c r="D17" s="11">
        <f>'RFM Analysis'!B17</f>
        <v>46239</v>
      </c>
      <c r="E17" s="11">
        <f>'RFM Analysis'!C17</f>
        <v>26</v>
      </c>
      <c r="F17" s="11">
        <f>'RFM Analysis'!I17</f>
        <v>10</v>
      </c>
      <c r="G17" s="11" t="str">
        <f t="shared" si="0"/>
        <v>No</v>
      </c>
      <c r="H17" s="11" t="str">
        <f t="shared" si="1"/>
        <v>Does not meet all three strict criteria</v>
      </c>
      <c r="I17" s="11">
        <f t="shared" si="2"/>
        <v>0</v>
      </c>
    </row>
    <row r="18" spans="1:9" ht="15" customHeight="1" x14ac:dyDescent="0.3">
      <c r="A18" s="11" t="str">
        <f>'Customer Response Tracker'!A18</f>
        <v>M014</v>
      </c>
      <c r="B18" s="11">
        <f>'Customer Response Tracker'!E18</f>
        <v>2</v>
      </c>
      <c r="C18" s="11">
        <f>'Customer Response Tracker'!D18</f>
        <v>3</v>
      </c>
      <c r="D18" s="11">
        <f>'RFM Analysis'!B18</f>
        <v>46240</v>
      </c>
      <c r="E18" s="11">
        <f>'RFM Analysis'!C18</f>
        <v>25</v>
      </c>
      <c r="F18" s="11">
        <f>'RFM Analysis'!I18</f>
        <v>8</v>
      </c>
      <c r="G18" s="11" t="str">
        <f t="shared" si="0"/>
        <v>No</v>
      </c>
      <c r="H18" s="11" t="str">
        <f t="shared" si="1"/>
        <v>Does not meet all three strict criteria</v>
      </c>
      <c r="I18" s="11">
        <f t="shared" si="2"/>
        <v>-1</v>
      </c>
    </row>
    <row r="19" spans="1:9" ht="15" customHeight="1" x14ac:dyDescent="0.3">
      <c r="A19" s="11" t="str">
        <f>'Customer Response Tracker'!A19</f>
        <v>M015</v>
      </c>
      <c r="B19" s="11">
        <f>'Customer Response Tracker'!E19</f>
        <v>7</v>
      </c>
      <c r="C19" s="11">
        <f>'Customer Response Tracker'!D19</f>
        <v>5</v>
      </c>
      <c r="D19" s="11">
        <f>'RFM Analysis'!B19</f>
        <v>46259</v>
      </c>
      <c r="E19" s="11">
        <f>'RFM Analysis'!C19</f>
        <v>6</v>
      </c>
      <c r="F19" s="11">
        <f>'RFM Analysis'!I19</f>
        <v>11</v>
      </c>
      <c r="G19" s="11" t="str">
        <f t="shared" si="0"/>
        <v>No</v>
      </c>
      <c r="H19" s="11" t="str">
        <f t="shared" si="1"/>
        <v>Does not meet all three strict criteria</v>
      </c>
      <c r="I19" s="11">
        <f t="shared" si="2"/>
        <v>2</v>
      </c>
    </row>
    <row r="20" spans="1:9" ht="15" customHeight="1" x14ac:dyDescent="0.3">
      <c r="A20" s="11" t="str">
        <f>'Customer Response Tracker'!A20</f>
        <v>M016</v>
      </c>
      <c r="B20" s="11">
        <f>'Customer Response Tracker'!E20</f>
        <v>6</v>
      </c>
      <c r="C20" s="11">
        <f>'Customer Response Tracker'!D20</f>
        <v>1</v>
      </c>
      <c r="D20" s="11">
        <f>'RFM Analysis'!B20</f>
        <v>46227</v>
      </c>
      <c r="E20" s="11">
        <f>'RFM Analysis'!C20</f>
        <v>38</v>
      </c>
      <c r="F20" s="11">
        <f>'RFM Analysis'!I20</f>
        <v>8</v>
      </c>
      <c r="G20" s="11" t="str">
        <f t="shared" si="0"/>
        <v>Yes</v>
      </c>
      <c r="H20" s="11" t="str">
        <f t="shared" si="1"/>
        <v>Previously regular customer, now less frequent and inactive for &gt;30 days</v>
      </c>
      <c r="I20" s="11">
        <f t="shared" si="2"/>
        <v>5</v>
      </c>
    </row>
    <row r="21" spans="1:9" ht="15" customHeight="1" x14ac:dyDescent="0.3">
      <c r="A21" s="11" t="str">
        <f>'Customer Response Tracker'!A21</f>
        <v>M017</v>
      </c>
      <c r="B21" s="11">
        <f>'Customer Response Tracker'!E21</f>
        <v>3</v>
      </c>
      <c r="C21" s="11">
        <f>'Customer Response Tracker'!D21</f>
        <v>5</v>
      </c>
      <c r="D21" s="11">
        <f>'RFM Analysis'!B21</f>
        <v>46246</v>
      </c>
      <c r="E21" s="11">
        <f>'RFM Analysis'!C21</f>
        <v>19</v>
      </c>
      <c r="F21" s="11">
        <f>'RFM Analysis'!I21</f>
        <v>12</v>
      </c>
      <c r="G21" s="11" t="str">
        <f t="shared" si="0"/>
        <v>No</v>
      </c>
      <c r="H21" s="11" t="str">
        <f t="shared" si="1"/>
        <v>Does not meet all three strict criteria</v>
      </c>
      <c r="I21" s="11">
        <f t="shared" si="2"/>
        <v>-2</v>
      </c>
    </row>
    <row r="22" spans="1:9" ht="15" customHeight="1" x14ac:dyDescent="0.3">
      <c r="A22" s="11" t="str">
        <f>'Customer Response Tracker'!A22</f>
        <v>M018</v>
      </c>
      <c r="B22" s="11">
        <f>'Customer Response Tracker'!E22</f>
        <v>5</v>
      </c>
      <c r="C22" s="11">
        <f>'Customer Response Tracker'!D22</f>
        <v>3</v>
      </c>
      <c r="D22" s="11">
        <f>'RFM Analysis'!B22</f>
        <v>46246</v>
      </c>
      <c r="E22" s="11">
        <f>'RFM Analysis'!C22</f>
        <v>19</v>
      </c>
      <c r="F22" s="11">
        <f>'RFM Analysis'!I22</f>
        <v>11</v>
      </c>
      <c r="G22" s="11" t="str">
        <f t="shared" si="0"/>
        <v>No</v>
      </c>
      <c r="H22" s="11" t="str">
        <f t="shared" si="1"/>
        <v>Does not meet all three strict criteria</v>
      </c>
      <c r="I22" s="11">
        <f t="shared" si="2"/>
        <v>2</v>
      </c>
    </row>
    <row r="23" spans="1:9" ht="15" customHeight="1" x14ac:dyDescent="0.3">
      <c r="A23" s="11" t="str">
        <f>'Customer Response Tracker'!A23</f>
        <v>M019</v>
      </c>
      <c r="B23" s="11">
        <f>'Customer Response Tracker'!E23</f>
        <v>6</v>
      </c>
      <c r="C23" s="11">
        <f>'Customer Response Tracker'!D23</f>
        <v>6</v>
      </c>
      <c r="D23" s="11">
        <f>'RFM Analysis'!B23</f>
        <v>46249</v>
      </c>
      <c r="E23" s="11">
        <f>'RFM Analysis'!C23</f>
        <v>16</v>
      </c>
      <c r="F23" s="11">
        <f>'RFM Analysis'!I23</f>
        <v>8</v>
      </c>
      <c r="G23" s="11" t="str">
        <f t="shared" si="0"/>
        <v>No</v>
      </c>
      <c r="H23" s="11" t="str">
        <f t="shared" si="1"/>
        <v>Does not meet all three strict criteria</v>
      </c>
      <c r="I23" s="11">
        <f t="shared" si="2"/>
        <v>0</v>
      </c>
    </row>
    <row r="24" spans="1:9" ht="15" customHeight="1" x14ac:dyDescent="0.3">
      <c r="A24" s="11" t="str">
        <f>'Customer Response Tracker'!A24</f>
        <v>M020</v>
      </c>
      <c r="B24" s="11">
        <f>'Customer Response Tracker'!E24</f>
        <v>8</v>
      </c>
      <c r="C24" s="11">
        <f>'Customer Response Tracker'!D24</f>
        <v>2</v>
      </c>
      <c r="D24" s="11">
        <f>'RFM Analysis'!B24</f>
        <v>46215</v>
      </c>
      <c r="E24" s="11">
        <f>'RFM Analysis'!C24</f>
        <v>50</v>
      </c>
      <c r="F24" s="11">
        <f>'RFM Analysis'!I24</f>
        <v>7</v>
      </c>
      <c r="G24" s="11" t="str">
        <f t="shared" si="0"/>
        <v>Yes</v>
      </c>
      <c r="H24" s="11" t="str">
        <f t="shared" si="1"/>
        <v>Previously regular customer, now less frequent and inactive for &gt;30 days</v>
      </c>
      <c r="I24" s="11">
        <f t="shared" si="2"/>
        <v>6</v>
      </c>
    </row>
    <row r="25" spans="1:9" ht="15" customHeight="1" x14ac:dyDescent="0.3">
      <c r="A25" s="11" t="str">
        <f>'Customer Response Tracker'!A25</f>
        <v>M021</v>
      </c>
      <c r="B25" s="11">
        <f>'Customer Response Tracker'!E25</f>
        <v>4</v>
      </c>
      <c r="C25" s="11">
        <f>'Customer Response Tracker'!D25</f>
        <v>5</v>
      </c>
      <c r="D25" s="11">
        <f>'RFM Analysis'!B25</f>
        <v>46248</v>
      </c>
      <c r="E25" s="11">
        <f>'RFM Analysis'!C25</f>
        <v>17</v>
      </c>
      <c r="F25" s="11">
        <f>'RFM Analysis'!I25</f>
        <v>8</v>
      </c>
      <c r="G25" s="11" t="str">
        <f t="shared" si="0"/>
        <v>No</v>
      </c>
      <c r="H25" s="11" t="str">
        <f t="shared" si="1"/>
        <v>Does not meet all three strict criteria</v>
      </c>
      <c r="I25" s="11">
        <f t="shared" si="2"/>
        <v>-1</v>
      </c>
    </row>
    <row r="26" spans="1:9" ht="15" customHeight="1" x14ac:dyDescent="0.3">
      <c r="A26" s="11" t="str">
        <f>'Customer Response Tracker'!A26</f>
        <v>M022</v>
      </c>
      <c r="B26" s="11">
        <f>'Customer Response Tracker'!E26</f>
        <v>4</v>
      </c>
      <c r="C26" s="11">
        <f>'Customer Response Tracker'!D26</f>
        <v>1</v>
      </c>
      <c r="D26" s="11">
        <f>'RFM Analysis'!B26</f>
        <v>46260</v>
      </c>
      <c r="E26" s="11">
        <f>'RFM Analysis'!C26</f>
        <v>5</v>
      </c>
      <c r="F26" s="11">
        <f>'RFM Analysis'!I26</f>
        <v>10</v>
      </c>
      <c r="G26" s="11" t="str">
        <f t="shared" si="0"/>
        <v>No</v>
      </c>
      <c r="H26" s="11" t="str">
        <f t="shared" si="1"/>
        <v>Does not meet all three strict criteria</v>
      </c>
      <c r="I26" s="11">
        <f t="shared" si="2"/>
        <v>3</v>
      </c>
    </row>
    <row r="27" spans="1:9" ht="15" customHeight="1" x14ac:dyDescent="0.3">
      <c r="A27" s="11" t="str">
        <f>'Customer Response Tracker'!A27</f>
        <v>M023</v>
      </c>
      <c r="B27" s="11">
        <f>'Customer Response Tracker'!E27</f>
        <v>2</v>
      </c>
      <c r="C27" s="11">
        <f>'Customer Response Tracker'!D27</f>
        <v>2</v>
      </c>
      <c r="D27" s="11">
        <f>'RFM Analysis'!B27</f>
        <v>46240</v>
      </c>
      <c r="E27" s="11">
        <f>'RFM Analysis'!C27</f>
        <v>25</v>
      </c>
      <c r="F27" s="11">
        <f>'RFM Analysis'!I27</f>
        <v>7</v>
      </c>
      <c r="G27" s="11" t="str">
        <f t="shared" si="0"/>
        <v>No</v>
      </c>
      <c r="H27" s="11" t="str">
        <f t="shared" si="1"/>
        <v>Does not meet all three strict criteria</v>
      </c>
      <c r="I27" s="11">
        <f t="shared" si="2"/>
        <v>0</v>
      </c>
    </row>
    <row r="28" spans="1:9" ht="15" customHeight="1" x14ac:dyDescent="0.3">
      <c r="A28" s="11" t="str">
        <f>'Customer Response Tracker'!A28</f>
        <v>M024</v>
      </c>
      <c r="B28" s="11">
        <f>'Customer Response Tracker'!E28</f>
        <v>3</v>
      </c>
      <c r="C28" s="11">
        <f>'Customer Response Tracker'!D28</f>
        <v>3</v>
      </c>
      <c r="D28" s="11">
        <f>'RFM Analysis'!B28</f>
        <v>46258</v>
      </c>
      <c r="E28" s="11">
        <f>'RFM Analysis'!C28</f>
        <v>7</v>
      </c>
      <c r="F28" s="11">
        <f>'RFM Analysis'!I28</f>
        <v>10</v>
      </c>
      <c r="G28" s="11" t="str">
        <f t="shared" si="0"/>
        <v>No</v>
      </c>
      <c r="H28" s="11" t="str">
        <f t="shared" si="1"/>
        <v>Does not meet all three strict criteria</v>
      </c>
      <c r="I28" s="11">
        <f t="shared" si="2"/>
        <v>0</v>
      </c>
    </row>
    <row r="29" spans="1:9" ht="15" customHeight="1" x14ac:dyDescent="0.3">
      <c r="A29" s="11" t="str">
        <f>'Customer Response Tracker'!A29</f>
        <v>M025</v>
      </c>
      <c r="B29" s="11">
        <f>'Customer Response Tracker'!E29</f>
        <v>5</v>
      </c>
      <c r="C29" s="11">
        <f>'Customer Response Tracker'!D29</f>
        <v>3</v>
      </c>
      <c r="D29" s="11">
        <f>'RFM Analysis'!B29</f>
        <v>46222</v>
      </c>
      <c r="E29" s="11">
        <f>'RFM Analysis'!C29</f>
        <v>43</v>
      </c>
      <c r="F29" s="11">
        <f>'RFM Analysis'!I29</f>
        <v>10</v>
      </c>
      <c r="G29" s="11" t="str">
        <f t="shared" si="0"/>
        <v>Yes</v>
      </c>
      <c r="H29" s="11" t="str">
        <f t="shared" si="1"/>
        <v>Previously regular customer, now less frequent and inactive for &gt;30 days</v>
      </c>
      <c r="I29" s="11">
        <f t="shared" si="2"/>
        <v>2</v>
      </c>
    </row>
    <row r="30" spans="1:9" ht="15" customHeight="1" x14ac:dyDescent="0.3">
      <c r="A30" s="11" t="str">
        <f>'Customer Response Tracker'!A30</f>
        <v>M026</v>
      </c>
      <c r="B30" s="11">
        <f>'Customer Response Tracker'!E30</f>
        <v>3</v>
      </c>
      <c r="C30" s="11">
        <f>'Customer Response Tracker'!D30</f>
        <v>3</v>
      </c>
      <c r="D30" s="11">
        <f>'RFM Analysis'!B30</f>
        <v>46263</v>
      </c>
      <c r="E30" s="11">
        <f>'RFM Analysis'!C30</f>
        <v>2</v>
      </c>
      <c r="F30" s="11">
        <f>'RFM Analysis'!I30</f>
        <v>11</v>
      </c>
      <c r="G30" s="11" t="str">
        <f t="shared" si="0"/>
        <v>No</v>
      </c>
      <c r="H30" s="11" t="str">
        <f t="shared" si="1"/>
        <v>Does not meet all three strict criteria</v>
      </c>
      <c r="I30" s="11">
        <f t="shared" si="2"/>
        <v>0</v>
      </c>
    </row>
    <row r="31" spans="1:9" ht="15" customHeight="1" x14ac:dyDescent="0.3">
      <c r="A31" s="11" t="str">
        <f>'Customer Response Tracker'!A31</f>
        <v>M027</v>
      </c>
      <c r="B31" s="11">
        <f>'Customer Response Tracker'!E31</f>
        <v>4</v>
      </c>
      <c r="C31" s="11">
        <f>'Customer Response Tracker'!D31</f>
        <v>2</v>
      </c>
      <c r="D31" s="11">
        <f>'RFM Analysis'!B31</f>
        <v>46262</v>
      </c>
      <c r="E31" s="11">
        <f>'RFM Analysis'!C31</f>
        <v>3</v>
      </c>
      <c r="F31" s="11">
        <f>'RFM Analysis'!I31</f>
        <v>10</v>
      </c>
      <c r="G31" s="11" t="str">
        <f t="shared" si="0"/>
        <v>No</v>
      </c>
      <c r="H31" s="11" t="str">
        <f t="shared" si="1"/>
        <v>Does not meet all three strict criteria</v>
      </c>
      <c r="I31" s="11">
        <f t="shared" si="2"/>
        <v>2</v>
      </c>
    </row>
    <row r="32" spans="1:9" ht="15" customHeight="1" x14ac:dyDescent="0.3">
      <c r="A32" s="11" t="str">
        <f>'Customer Response Tracker'!A32</f>
        <v>M028</v>
      </c>
      <c r="B32" s="11">
        <f>'Customer Response Tracker'!E32</f>
        <v>6</v>
      </c>
      <c r="C32" s="11">
        <f>'Customer Response Tracker'!D32</f>
        <v>6</v>
      </c>
      <c r="D32" s="11">
        <f>'RFM Analysis'!B32</f>
        <v>46247</v>
      </c>
      <c r="E32" s="11">
        <f>'RFM Analysis'!C32</f>
        <v>18</v>
      </c>
      <c r="F32" s="11">
        <f>'RFM Analysis'!I32</f>
        <v>8</v>
      </c>
      <c r="G32" s="11" t="str">
        <f t="shared" si="0"/>
        <v>No</v>
      </c>
      <c r="H32" s="11" t="str">
        <f t="shared" si="1"/>
        <v>Does not meet all three strict criteria</v>
      </c>
      <c r="I32" s="11">
        <f t="shared" si="2"/>
        <v>0</v>
      </c>
    </row>
    <row r="33" spans="1:9" ht="15" customHeight="1" x14ac:dyDescent="0.3">
      <c r="A33" s="11" t="str">
        <f>'Customer Response Tracker'!A33</f>
        <v>M029</v>
      </c>
      <c r="B33" s="11">
        <f>'Customer Response Tracker'!E33</f>
        <v>8</v>
      </c>
      <c r="C33" s="11">
        <f>'Customer Response Tracker'!D33</f>
        <v>10</v>
      </c>
      <c r="D33" s="11">
        <f>'RFM Analysis'!B33</f>
        <v>46256</v>
      </c>
      <c r="E33" s="11">
        <f>'RFM Analysis'!C33</f>
        <v>9</v>
      </c>
      <c r="F33" s="11">
        <f>'RFM Analysis'!I33</f>
        <v>12</v>
      </c>
      <c r="G33" s="11" t="str">
        <f t="shared" si="0"/>
        <v>No</v>
      </c>
      <c r="H33" s="11" t="str">
        <f t="shared" si="1"/>
        <v>Does not meet all three strict criteria</v>
      </c>
      <c r="I33" s="11">
        <f t="shared" si="2"/>
        <v>-2</v>
      </c>
    </row>
    <row r="34" spans="1:9" ht="15" customHeight="1" x14ac:dyDescent="0.3">
      <c r="A34" s="11" t="str">
        <f>'Customer Response Tracker'!A34</f>
        <v>M030</v>
      </c>
      <c r="B34" s="11">
        <f>'Customer Response Tracker'!E34</f>
        <v>7</v>
      </c>
      <c r="C34" s="11">
        <f>'Customer Response Tracker'!D34</f>
        <v>7</v>
      </c>
      <c r="D34" s="11">
        <f>'RFM Analysis'!B34</f>
        <v>46253</v>
      </c>
      <c r="E34" s="11">
        <f>'RFM Analysis'!C34</f>
        <v>12</v>
      </c>
      <c r="F34" s="11">
        <f>'RFM Analysis'!I34</f>
        <v>14</v>
      </c>
      <c r="G34" s="11" t="str">
        <f t="shared" si="0"/>
        <v>No</v>
      </c>
      <c r="H34" s="11" t="str">
        <f t="shared" si="1"/>
        <v>Does not meet all three strict criteria</v>
      </c>
      <c r="I34" s="11">
        <f t="shared" si="2"/>
        <v>0</v>
      </c>
    </row>
    <row r="35" spans="1:9" ht="15" customHeight="1" x14ac:dyDescent="0.3">
      <c r="A35" s="11" t="str">
        <f>'Customer Response Tracker'!A35</f>
        <v>M031</v>
      </c>
      <c r="B35" s="11">
        <f>'Customer Response Tracker'!E35</f>
        <v>6</v>
      </c>
      <c r="C35" s="11">
        <f>'Customer Response Tracker'!D35</f>
        <v>3</v>
      </c>
      <c r="D35" s="11">
        <f>'RFM Analysis'!B35</f>
        <v>46221</v>
      </c>
      <c r="E35" s="11">
        <f>'RFM Analysis'!C35</f>
        <v>44</v>
      </c>
      <c r="F35" s="11">
        <f>'RFM Analysis'!I35</f>
        <v>7</v>
      </c>
      <c r="G35" s="11" t="str">
        <f t="shared" si="0"/>
        <v>Yes</v>
      </c>
      <c r="H35" s="11" t="str">
        <f t="shared" si="1"/>
        <v>Previously regular customer, now less frequent and inactive for &gt;30 days</v>
      </c>
      <c r="I35" s="11">
        <f t="shared" si="2"/>
        <v>3</v>
      </c>
    </row>
    <row r="36" spans="1:9" ht="15" customHeight="1" x14ac:dyDescent="0.3">
      <c r="A36" s="11" t="str">
        <f>'Customer Response Tracker'!A36</f>
        <v>M032</v>
      </c>
      <c r="B36" s="11">
        <f>'Customer Response Tracker'!E36</f>
        <v>4</v>
      </c>
      <c r="C36" s="11">
        <f>'Customer Response Tracker'!D36</f>
        <v>4</v>
      </c>
      <c r="D36" s="11">
        <f>'RFM Analysis'!B36</f>
        <v>46255</v>
      </c>
      <c r="E36" s="11">
        <f>'RFM Analysis'!C36</f>
        <v>10</v>
      </c>
      <c r="F36" s="11">
        <f>'RFM Analysis'!I36</f>
        <v>8</v>
      </c>
      <c r="G36" s="11" t="str">
        <f t="shared" si="0"/>
        <v>No</v>
      </c>
      <c r="H36" s="11" t="str">
        <f t="shared" si="1"/>
        <v>Does not meet all three strict criteria</v>
      </c>
      <c r="I36" s="11">
        <f t="shared" si="2"/>
        <v>0</v>
      </c>
    </row>
    <row r="37" spans="1:9" ht="15" customHeight="1" x14ac:dyDescent="0.3">
      <c r="A37" s="11" t="str">
        <f>'Customer Response Tracker'!A37</f>
        <v>M033</v>
      </c>
      <c r="B37" s="11">
        <f>'Customer Response Tracker'!E37</f>
        <v>6</v>
      </c>
      <c r="C37" s="11">
        <f>'Customer Response Tracker'!D37</f>
        <v>7</v>
      </c>
      <c r="D37" s="11">
        <f>'RFM Analysis'!B37</f>
        <v>46254</v>
      </c>
      <c r="E37" s="11">
        <f>'RFM Analysis'!C37</f>
        <v>11</v>
      </c>
      <c r="F37" s="11">
        <f>'RFM Analysis'!I37</f>
        <v>13</v>
      </c>
      <c r="G37" s="11" t="str">
        <f t="shared" ref="G37:G68" si="3">IF(AND(E37&gt;30,B37&gt;=4,C37&lt;B37),"Yes","No")</f>
        <v>No</v>
      </c>
      <c r="H37" s="11" t="str">
        <f t="shared" ref="H37:H68" si="4">IF(G37="Yes","Previously regular customer, now less frequent and inactive for &gt;30 days","Does not meet all three strict criteria")</f>
        <v>Does not meet all three strict criteria</v>
      </c>
      <c r="I37" s="11">
        <f t="shared" ref="I37:I68" si="5">B37-C37</f>
        <v>-1</v>
      </c>
    </row>
    <row r="38" spans="1:9" ht="15" customHeight="1" x14ac:dyDescent="0.3">
      <c r="A38" s="11" t="str">
        <f>'Customer Response Tracker'!A38</f>
        <v>M034</v>
      </c>
      <c r="B38" s="11">
        <f>'Customer Response Tracker'!E38</f>
        <v>3</v>
      </c>
      <c r="C38" s="11">
        <f>'Customer Response Tracker'!D38</f>
        <v>2</v>
      </c>
      <c r="D38" s="11">
        <f>'RFM Analysis'!B38</f>
        <v>46260</v>
      </c>
      <c r="E38" s="11">
        <f>'RFM Analysis'!C38</f>
        <v>5</v>
      </c>
      <c r="F38" s="11">
        <f>'RFM Analysis'!I38</f>
        <v>12</v>
      </c>
      <c r="G38" s="11" t="str">
        <f t="shared" si="3"/>
        <v>No</v>
      </c>
      <c r="H38" s="11" t="str">
        <f t="shared" si="4"/>
        <v>Does not meet all three strict criteria</v>
      </c>
      <c r="I38" s="11">
        <f t="shared" si="5"/>
        <v>1</v>
      </c>
    </row>
    <row r="39" spans="1:9" ht="15" customHeight="1" x14ac:dyDescent="0.3">
      <c r="A39" s="11" t="str">
        <f>'Customer Response Tracker'!A39</f>
        <v>M035</v>
      </c>
      <c r="B39" s="11">
        <f>'Customer Response Tracker'!E39</f>
        <v>9</v>
      </c>
      <c r="C39" s="11">
        <f>'Customer Response Tracker'!D39</f>
        <v>8</v>
      </c>
      <c r="D39" s="11">
        <f>'RFM Analysis'!B39</f>
        <v>46257</v>
      </c>
      <c r="E39" s="11">
        <f>'RFM Analysis'!C39</f>
        <v>8</v>
      </c>
      <c r="F39" s="11">
        <f>'RFM Analysis'!I39</f>
        <v>13</v>
      </c>
      <c r="G39" s="11" t="str">
        <f t="shared" si="3"/>
        <v>No</v>
      </c>
      <c r="H39" s="11" t="str">
        <f t="shared" si="4"/>
        <v>Does not meet all three strict criteria</v>
      </c>
      <c r="I39" s="11">
        <f t="shared" si="5"/>
        <v>1</v>
      </c>
    </row>
    <row r="40" spans="1:9" ht="15" customHeight="1" x14ac:dyDescent="0.3">
      <c r="A40" s="11" t="str">
        <f>'Customer Response Tracker'!A40</f>
        <v>M036</v>
      </c>
      <c r="B40" s="11">
        <f>'Customer Response Tracker'!E40</f>
        <v>8</v>
      </c>
      <c r="C40" s="11">
        <f>'Customer Response Tracker'!D40</f>
        <v>8</v>
      </c>
      <c r="D40" s="11">
        <f>'RFM Analysis'!B40</f>
        <v>46237</v>
      </c>
      <c r="E40" s="11">
        <f>'RFM Analysis'!C40</f>
        <v>28</v>
      </c>
      <c r="F40" s="11">
        <f>'RFM Analysis'!I40</f>
        <v>10</v>
      </c>
      <c r="G40" s="11" t="str">
        <f t="shared" si="3"/>
        <v>No</v>
      </c>
      <c r="H40" s="11" t="str">
        <f t="shared" si="4"/>
        <v>Does not meet all three strict criteria</v>
      </c>
      <c r="I40" s="11">
        <f t="shared" si="5"/>
        <v>0</v>
      </c>
    </row>
    <row r="41" spans="1:9" ht="15" customHeight="1" x14ac:dyDescent="0.3">
      <c r="A41" s="11" t="str">
        <f>'Customer Response Tracker'!A41</f>
        <v>M037</v>
      </c>
      <c r="B41" s="11">
        <f>'Customer Response Tracker'!E41</f>
        <v>8</v>
      </c>
      <c r="C41" s="11">
        <f>'Customer Response Tracker'!D41</f>
        <v>3</v>
      </c>
      <c r="D41" s="11">
        <f>'RFM Analysis'!B41</f>
        <v>46233</v>
      </c>
      <c r="E41" s="11">
        <f>'RFM Analysis'!C41</f>
        <v>32</v>
      </c>
      <c r="F41" s="11">
        <f>'RFM Analysis'!I41</f>
        <v>8</v>
      </c>
      <c r="G41" s="11" t="str">
        <f t="shared" si="3"/>
        <v>Yes</v>
      </c>
      <c r="H41" s="11" t="str">
        <f t="shared" si="4"/>
        <v>Previously regular customer, now less frequent and inactive for &gt;30 days</v>
      </c>
      <c r="I41" s="11">
        <f t="shared" si="5"/>
        <v>5</v>
      </c>
    </row>
    <row r="42" spans="1:9" ht="15" customHeight="1" x14ac:dyDescent="0.3">
      <c r="A42" s="11" t="str">
        <f>'Customer Response Tracker'!A42</f>
        <v>M038</v>
      </c>
      <c r="B42" s="11">
        <f>'Customer Response Tracker'!E42</f>
        <v>6</v>
      </c>
      <c r="C42" s="11">
        <f>'Customer Response Tracker'!D42</f>
        <v>4</v>
      </c>
      <c r="D42" s="11">
        <f>'RFM Analysis'!B42</f>
        <v>46250</v>
      </c>
      <c r="E42" s="11">
        <f>'RFM Analysis'!C42</f>
        <v>15</v>
      </c>
      <c r="F42" s="11">
        <f>'RFM Analysis'!I42</f>
        <v>8</v>
      </c>
      <c r="G42" s="11" t="str">
        <f t="shared" si="3"/>
        <v>No</v>
      </c>
      <c r="H42" s="11" t="str">
        <f t="shared" si="4"/>
        <v>Does not meet all three strict criteria</v>
      </c>
      <c r="I42" s="11">
        <f t="shared" si="5"/>
        <v>2</v>
      </c>
    </row>
    <row r="43" spans="1:9" ht="15" customHeight="1" x14ac:dyDescent="0.3">
      <c r="A43" s="11" t="str">
        <f>'Customer Response Tracker'!A43</f>
        <v>M039</v>
      </c>
      <c r="B43" s="11">
        <f>'Customer Response Tracker'!E43</f>
        <v>8</v>
      </c>
      <c r="C43" s="11">
        <f>'Customer Response Tracker'!D43</f>
        <v>5</v>
      </c>
      <c r="D43" s="11">
        <f>'RFM Analysis'!B43</f>
        <v>46252</v>
      </c>
      <c r="E43" s="11">
        <f>'RFM Analysis'!C43</f>
        <v>13</v>
      </c>
      <c r="F43" s="11">
        <f>'RFM Analysis'!I43</f>
        <v>13</v>
      </c>
      <c r="G43" s="11" t="str">
        <f t="shared" si="3"/>
        <v>No</v>
      </c>
      <c r="H43" s="11" t="str">
        <f t="shared" si="4"/>
        <v>Does not meet all three strict criteria</v>
      </c>
      <c r="I43" s="11">
        <f t="shared" si="5"/>
        <v>3</v>
      </c>
    </row>
    <row r="44" spans="1:9" ht="15" customHeight="1" x14ac:dyDescent="0.3">
      <c r="A44" s="11" t="str">
        <f>'Customer Response Tracker'!A44</f>
        <v>M040</v>
      </c>
      <c r="B44" s="11">
        <f>'Customer Response Tracker'!E44</f>
        <v>5</v>
      </c>
      <c r="C44" s="11">
        <f>'Customer Response Tracker'!D44</f>
        <v>2</v>
      </c>
      <c r="D44" s="11">
        <f>'RFM Analysis'!B44</f>
        <v>46258</v>
      </c>
      <c r="E44" s="11">
        <f>'RFM Analysis'!C44</f>
        <v>7</v>
      </c>
      <c r="F44" s="11">
        <f>'RFM Analysis'!I44</f>
        <v>11</v>
      </c>
      <c r="G44" s="11" t="str">
        <f t="shared" si="3"/>
        <v>No</v>
      </c>
      <c r="H44" s="11" t="str">
        <f t="shared" si="4"/>
        <v>Does not meet all three strict criteria</v>
      </c>
      <c r="I44" s="11">
        <f t="shared" si="5"/>
        <v>3</v>
      </c>
    </row>
    <row r="45" spans="1:9" ht="15" customHeight="1" x14ac:dyDescent="0.3">
      <c r="A45" s="11" t="str">
        <f>'Customer Response Tracker'!A45</f>
        <v>M041</v>
      </c>
      <c r="B45" s="11">
        <f>'Customer Response Tracker'!E45</f>
        <v>5</v>
      </c>
      <c r="C45" s="11">
        <f>'Customer Response Tracker'!D45</f>
        <v>7</v>
      </c>
      <c r="D45" s="11">
        <f>'RFM Analysis'!B45</f>
        <v>46262</v>
      </c>
      <c r="E45" s="11">
        <f>'RFM Analysis'!C45</f>
        <v>3</v>
      </c>
      <c r="F45" s="11">
        <f>'RFM Analysis'!I45</f>
        <v>15</v>
      </c>
      <c r="G45" s="11" t="str">
        <f t="shared" si="3"/>
        <v>No</v>
      </c>
      <c r="H45" s="11" t="str">
        <f t="shared" si="4"/>
        <v>Does not meet all three strict criteria</v>
      </c>
      <c r="I45" s="11">
        <f t="shared" si="5"/>
        <v>-2</v>
      </c>
    </row>
    <row r="46" spans="1:9" ht="15" customHeight="1" x14ac:dyDescent="0.3">
      <c r="A46" s="11" t="str">
        <f>'Customer Response Tracker'!A46</f>
        <v>M042</v>
      </c>
      <c r="B46" s="11">
        <f>'Customer Response Tracker'!E46</f>
        <v>4</v>
      </c>
      <c r="C46" s="11">
        <f>'Customer Response Tracker'!D46</f>
        <v>1</v>
      </c>
      <c r="D46" s="11">
        <f>'RFM Analysis'!B46</f>
        <v>46242</v>
      </c>
      <c r="E46" s="11">
        <f>'RFM Analysis'!C46</f>
        <v>23</v>
      </c>
      <c r="F46" s="11">
        <f>'RFM Analysis'!I46</f>
        <v>5</v>
      </c>
      <c r="G46" s="11" t="str">
        <f t="shared" si="3"/>
        <v>No</v>
      </c>
      <c r="H46" s="11" t="str">
        <f t="shared" si="4"/>
        <v>Does not meet all three strict criteria</v>
      </c>
      <c r="I46" s="11">
        <f t="shared" si="5"/>
        <v>3</v>
      </c>
    </row>
    <row r="47" spans="1:9" ht="15" customHeight="1" x14ac:dyDescent="0.3">
      <c r="A47" s="11" t="str">
        <f>'Customer Response Tracker'!A47</f>
        <v>M043</v>
      </c>
      <c r="B47" s="11">
        <f>'Customer Response Tracker'!E47</f>
        <v>5</v>
      </c>
      <c r="C47" s="11">
        <f>'Customer Response Tracker'!D47</f>
        <v>6</v>
      </c>
      <c r="D47" s="11">
        <f>'RFM Analysis'!B47</f>
        <v>46237</v>
      </c>
      <c r="E47" s="11">
        <f>'RFM Analysis'!C47</f>
        <v>28</v>
      </c>
      <c r="F47" s="11">
        <f>'RFM Analysis'!I47</f>
        <v>10</v>
      </c>
      <c r="G47" s="11" t="str">
        <f t="shared" si="3"/>
        <v>No</v>
      </c>
      <c r="H47" s="11" t="str">
        <f t="shared" si="4"/>
        <v>Does not meet all three strict criteria</v>
      </c>
      <c r="I47" s="11">
        <f t="shared" si="5"/>
        <v>-1</v>
      </c>
    </row>
    <row r="48" spans="1:9" ht="15" customHeight="1" x14ac:dyDescent="0.3">
      <c r="A48" s="11" t="str">
        <f>'Customer Response Tracker'!A48</f>
        <v>M044</v>
      </c>
      <c r="B48" s="11">
        <f>'Customer Response Tracker'!E48</f>
        <v>4</v>
      </c>
      <c r="C48" s="11">
        <f>'Customer Response Tracker'!D48</f>
        <v>1</v>
      </c>
      <c r="D48" s="11">
        <f>'RFM Analysis'!B48</f>
        <v>46214</v>
      </c>
      <c r="E48" s="11">
        <f>'RFM Analysis'!C48</f>
        <v>51</v>
      </c>
      <c r="F48" s="11">
        <f>'RFM Analysis'!I48</f>
        <v>5</v>
      </c>
      <c r="G48" s="11" t="str">
        <f t="shared" si="3"/>
        <v>Yes</v>
      </c>
      <c r="H48" s="11" t="str">
        <f t="shared" si="4"/>
        <v>Previously regular customer, now less frequent and inactive for &gt;30 days</v>
      </c>
      <c r="I48" s="11">
        <f t="shared" si="5"/>
        <v>3</v>
      </c>
    </row>
    <row r="49" spans="1:9" ht="15" customHeight="1" x14ac:dyDescent="0.3">
      <c r="A49" s="11" t="str">
        <f>'Customer Response Tracker'!A49</f>
        <v>M045</v>
      </c>
      <c r="B49" s="11">
        <f>'Customer Response Tracker'!E49</f>
        <v>4</v>
      </c>
      <c r="C49" s="11">
        <f>'Customer Response Tracker'!D49</f>
        <v>1</v>
      </c>
      <c r="D49" s="11">
        <f>'RFM Analysis'!B49</f>
        <v>46241</v>
      </c>
      <c r="E49" s="11">
        <f>'RFM Analysis'!C49</f>
        <v>24</v>
      </c>
      <c r="F49" s="11">
        <f>'RFM Analysis'!I49</f>
        <v>7</v>
      </c>
      <c r="G49" s="11" t="str">
        <f t="shared" si="3"/>
        <v>No</v>
      </c>
      <c r="H49" s="11" t="str">
        <f t="shared" si="4"/>
        <v>Does not meet all three strict criteria</v>
      </c>
      <c r="I49" s="11">
        <f t="shared" si="5"/>
        <v>3</v>
      </c>
    </row>
    <row r="50" spans="1:9" ht="15" customHeight="1" x14ac:dyDescent="0.3">
      <c r="A50" s="11" t="str">
        <f>'Customer Response Tracker'!A50</f>
        <v>M046</v>
      </c>
      <c r="B50" s="11">
        <f>'Customer Response Tracker'!E50</f>
        <v>8</v>
      </c>
      <c r="C50" s="11">
        <f>'Customer Response Tracker'!D50</f>
        <v>7</v>
      </c>
      <c r="D50" s="11">
        <f>'RFM Analysis'!B50</f>
        <v>46244</v>
      </c>
      <c r="E50" s="11">
        <f>'RFM Analysis'!C50</f>
        <v>21</v>
      </c>
      <c r="F50" s="11">
        <f>'RFM Analysis'!I50</f>
        <v>10</v>
      </c>
      <c r="G50" s="11" t="str">
        <f t="shared" si="3"/>
        <v>No</v>
      </c>
      <c r="H50" s="11" t="str">
        <f t="shared" si="4"/>
        <v>Does not meet all three strict criteria</v>
      </c>
      <c r="I50" s="11">
        <f t="shared" si="5"/>
        <v>1</v>
      </c>
    </row>
    <row r="51" spans="1:9" ht="15" customHeight="1" x14ac:dyDescent="0.3">
      <c r="A51" s="11" t="str">
        <f>'Customer Response Tracker'!A51</f>
        <v>M047</v>
      </c>
      <c r="B51" s="11">
        <f>'Customer Response Tracker'!E51</f>
        <v>5</v>
      </c>
      <c r="C51" s="11">
        <f>'Customer Response Tracker'!D51</f>
        <v>5</v>
      </c>
      <c r="D51" s="11">
        <f>'RFM Analysis'!B51</f>
        <v>46241</v>
      </c>
      <c r="E51" s="11">
        <f>'RFM Analysis'!C51</f>
        <v>24</v>
      </c>
      <c r="F51" s="11">
        <f>'RFM Analysis'!I51</f>
        <v>9</v>
      </c>
      <c r="G51" s="11" t="str">
        <f t="shared" si="3"/>
        <v>No</v>
      </c>
      <c r="H51" s="11" t="str">
        <f t="shared" si="4"/>
        <v>Does not meet all three strict criteria</v>
      </c>
      <c r="I51" s="11">
        <f t="shared" si="5"/>
        <v>0</v>
      </c>
    </row>
    <row r="52" spans="1:9" ht="15" customHeight="1" x14ac:dyDescent="0.3">
      <c r="A52" s="11" t="str">
        <f>'Customer Response Tracker'!A52</f>
        <v>M048</v>
      </c>
      <c r="B52" s="11">
        <f>'Customer Response Tracker'!E52</f>
        <v>4</v>
      </c>
      <c r="C52" s="11">
        <f>'Customer Response Tracker'!D52</f>
        <v>4</v>
      </c>
      <c r="D52" s="11">
        <f>'RFM Analysis'!B52</f>
        <v>46246</v>
      </c>
      <c r="E52" s="11">
        <f>'RFM Analysis'!C52</f>
        <v>19</v>
      </c>
      <c r="F52" s="11">
        <f>'RFM Analysis'!I52</f>
        <v>11</v>
      </c>
      <c r="G52" s="11" t="str">
        <f t="shared" si="3"/>
        <v>No</v>
      </c>
      <c r="H52" s="11" t="str">
        <f t="shared" si="4"/>
        <v>Does not meet all three strict criteria</v>
      </c>
      <c r="I52" s="11">
        <f t="shared" si="5"/>
        <v>0</v>
      </c>
    </row>
    <row r="53" spans="1:9" ht="15" customHeight="1" x14ac:dyDescent="0.3">
      <c r="A53" s="11" t="str">
        <f>'Customer Response Tracker'!A53</f>
        <v>M049</v>
      </c>
      <c r="B53" s="11">
        <f>'Customer Response Tracker'!E53</f>
        <v>6</v>
      </c>
      <c r="C53" s="11">
        <f>'Customer Response Tracker'!D53</f>
        <v>7</v>
      </c>
      <c r="D53" s="11">
        <f>'RFM Analysis'!B53</f>
        <v>46257</v>
      </c>
      <c r="E53" s="11">
        <f>'RFM Analysis'!C53</f>
        <v>8</v>
      </c>
      <c r="F53" s="11">
        <f>'RFM Analysis'!I53</f>
        <v>12</v>
      </c>
      <c r="G53" s="11" t="str">
        <f t="shared" si="3"/>
        <v>No</v>
      </c>
      <c r="H53" s="11" t="str">
        <f t="shared" si="4"/>
        <v>Does not meet all three strict criteria</v>
      </c>
      <c r="I53" s="11">
        <f t="shared" si="5"/>
        <v>-1</v>
      </c>
    </row>
    <row r="54" spans="1:9" ht="15" customHeight="1" x14ac:dyDescent="0.3">
      <c r="A54" s="11" t="str">
        <f>'Customer Response Tracker'!A54</f>
        <v>M050</v>
      </c>
      <c r="B54" s="11">
        <f>'Customer Response Tracker'!E54</f>
        <v>4</v>
      </c>
      <c r="C54" s="11">
        <f>'Customer Response Tracker'!D54</f>
        <v>1</v>
      </c>
      <c r="D54" s="11">
        <f>'RFM Analysis'!B54</f>
        <v>46227</v>
      </c>
      <c r="E54" s="11">
        <f>'RFM Analysis'!C54</f>
        <v>38</v>
      </c>
      <c r="F54" s="11">
        <f>'RFM Analysis'!I54</f>
        <v>7</v>
      </c>
      <c r="G54" s="11" t="str">
        <f t="shared" si="3"/>
        <v>Yes</v>
      </c>
      <c r="H54" s="11" t="str">
        <f t="shared" si="4"/>
        <v>Previously regular customer, now less frequent and inactive for &gt;30 days</v>
      </c>
      <c r="I54" s="11">
        <f t="shared" si="5"/>
        <v>3</v>
      </c>
    </row>
    <row r="55" spans="1:9" ht="15" customHeight="1" x14ac:dyDescent="0.3">
      <c r="A55" s="11" t="str">
        <f>'Customer Response Tracker'!A55</f>
        <v>M051</v>
      </c>
      <c r="B55" s="11">
        <f>'Customer Response Tracker'!E55</f>
        <v>4</v>
      </c>
      <c r="C55" s="11">
        <f>'Customer Response Tracker'!D55</f>
        <v>4</v>
      </c>
      <c r="D55" s="11">
        <f>'RFM Analysis'!B55</f>
        <v>46244</v>
      </c>
      <c r="E55" s="11">
        <f>'RFM Analysis'!C55</f>
        <v>21</v>
      </c>
      <c r="F55" s="11">
        <f>'RFM Analysis'!I55</f>
        <v>11</v>
      </c>
      <c r="G55" s="11" t="str">
        <f t="shared" si="3"/>
        <v>No</v>
      </c>
      <c r="H55" s="11" t="str">
        <f t="shared" si="4"/>
        <v>Does not meet all three strict criteria</v>
      </c>
      <c r="I55" s="11">
        <f t="shared" si="5"/>
        <v>0</v>
      </c>
    </row>
    <row r="56" spans="1:9" ht="15" customHeight="1" x14ac:dyDescent="0.3">
      <c r="A56" s="11" t="str">
        <f>'Customer Response Tracker'!A56</f>
        <v>M052</v>
      </c>
      <c r="B56" s="11">
        <f>'Customer Response Tracker'!E56</f>
        <v>4</v>
      </c>
      <c r="C56" s="11">
        <f>'Customer Response Tracker'!D56</f>
        <v>2</v>
      </c>
      <c r="D56" s="11">
        <f>'RFM Analysis'!B56</f>
        <v>46243</v>
      </c>
      <c r="E56" s="11">
        <f>'RFM Analysis'!C56</f>
        <v>22</v>
      </c>
      <c r="F56" s="11">
        <f>'RFM Analysis'!I56</f>
        <v>9</v>
      </c>
      <c r="G56" s="11" t="str">
        <f t="shared" si="3"/>
        <v>No</v>
      </c>
      <c r="H56" s="11" t="str">
        <f t="shared" si="4"/>
        <v>Does not meet all three strict criteria</v>
      </c>
      <c r="I56" s="11">
        <f t="shared" si="5"/>
        <v>2</v>
      </c>
    </row>
    <row r="57" spans="1:9" ht="15" customHeight="1" x14ac:dyDescent="0.3">
      <c r="A57" s="11" t="str">
        <f>'Customer Response Tracker'!A57</f>
        <v>M053</v>
      </c>
      <c r="B57" s="11">
        <f>'Customer Response Tracker'!E57</f>
        <v>6</v>
      </c>
      <c r="C57" s="11">
        <f>'Customer Response Tracker'!D57</f>
        <v>3</v>
      </c>
      <c r="D57" s="11">
        <f>'RFM Analysis'!B57</f>
        <v>46246</v>
      </c>
      <c r="E57" s="11">
        <f>'RFM Analysis'!C57</f>
        <v>19</v>
      </c>
      <c r="F57" s="11">
        <f>'RFM Analysis'!I57</f>
        <v>8</v>
      </c>
      <c r="G57" s="11" t="str">
        <f t="shared" si="3"/>
        <v>No</v>
      </c>
      <c r="H57" s="11" t="str">
        <f t="shared" si="4"/>
        <v>Does not meet all three strict criteria</v>
      </c>
      <c r="I57" s="11">
        <f t="shared" si="5"/>
        <v>3</v>
      </c>
    </row>
    <row r="58" spans="1:9" ht="15" customHeight="1" x14ac:dyDescent="0.3">
      <c r="A58" s="11" t="str">
        <f>'Customer Response Tracker'!A58</f>
        <v>M054</v>
      </c>
      <c r="B58" s="11">
        <f>'Customer Response Tracker'!E58</f>
        <v>6</v>
      </c>
      <c r="C58" s="11">
        <f>'Customer Response Tracker'!D58</f>
        <v>6</v>
      </c>
      <c r="D58" s="11">
        <f>'RFM Analysis'!B58</f>
        <v>46253</v>
      </c>
      <c r="E58" s="11">
        <f>'RFM Analysis'!C58</f>
        <v>12</v>
      </c>
      <c r="F58" s="11">
        <f>'RFM Analysis'!I58</f>
        <v>13</v>
      </c>
      <c r="G58" s="11" t="str">
        <f t="shared" si="3"/>
        <v>No</v>
      </c>
      <c r="H58" s="11" t="str">
        <f t="shared" si="4"/>
        <v>Does not meet all three strict criteria</v>
      </c>
      <c r="I58" s="11">
        <f t="shared" si="5"/>
        <v>0</v>
      </c>
    </row>
    <row r="59" spans="1:9" ht="15" customHeight="1" x14ac:dyDescent="0.3">
      <c r="A59" s="11" t="str">
        <f>'Customer Response Tracker'!A59</f>
        <v>M055</v>
      </c>
      <c r="B59" s="11">
        <f>'Customer Response Tracker'!E59</f>
        <v>6</v>
      </c>
      <c r="C59" s="11">
        <f>'Customer Response Tracker'!D59</f>
        <v>5</v>
      </c>
      <c r="D59" s="11">
        <f>'RFM Analysis'!B59</f>
        <v>46239</v>
      </c>
      <c r="E59" s="11">
        <f>'RFM Analysis'!C59</f>
        <v>26</v>
      </c>
      <c r="F59" s="11">
        <f>'RFM Analysis'!I59</f>
        <v>9</v>
      </c>
      <c r="G59" s="11" t="str">
        <f t="shared" si="3"/>
        <v>No</v>
      </c>
      <c r="H59" s="11" t="str">
        <f t="shared" si="4"/>
        <v>Does not meet all three strict criteria</v>
      </c>
      <c r="I59" s="11">
        <f t="shared" si="5"/>
        <v>1</v>
      </c>
    </row>
    <row r="60" spans="1:9" ht="15" customHeight="1" x14ac:dyDescent="0.3">
      <c r="A60" s="11" t="str">
        <f>'Customer Response Tracker'!A60</f>
        <v>M056</v>
      </c>
      <c r="B60" s="11">
        <f>'Customer Response Tracker'!E60</f>
        <v>8</v>
      </c>
      <c r="C60" s="11">
        <f>'Customer Response Tracker'!D60</f>
        <v>1</v>
      </c>
      <c r="D60" s="11">
        <f>'RFM Analysis'!B60</f>
        <v>46229</v>
      </c>
      <c r="E60" s="11">
        <f>'RFM Analysis'!C60</f>
        <v>36</v>
      </c>
      <c r="F60" s="11">
        <f>'RFM Analysis'!I60</f>
        <v>4</v>
      </c>
      <c r="G60" s="11" t="str">
        <f t="shared" si="3"/>
        <v>Yes</v>
      </c>
      <c r="H60" s="11" t="str">
        <f t="shared" si="4"/>
        <v>Previously regular customer, now less frequent and inactive for &gt;30 days</v>
      </c>
      <c r="I60" s="11">
        <f t="shared" si="5"/>
        <v>7</v>
      </c>
    </row>
    <row r="61" spans="1:9" ht="15" customHeight="1" x14ac:dyDescent="0.3">
      <c r="A61" s="11" t="str">
        <f>'Customer Response Tracker'!A61</f>
        <v>M057</v>
      </c>
      <c r="B61" s="11">
        <f>'Customer Response Tracker'!E61</f>
        <v>5</v>
      </c>
      <c r="C61" s="11">
        <f>'Customer Response Tracker'!D61</f>
        <v>6</v>
      </c>
      <c r="D61" s="11">
        <f>'RFM Analysis'!B61</f>
        <v>46259</v>
      </c>
      <c r="E61" s="11">
        <f>'RFM Analysis'!C61</f>
        <v>6</v>
      </c>
      <c r="F61" s="11">
        <f>'RFM Analysis'!I61</f>
        <v>13</v>
      </c>
      <c r="G61" s="11" t="str">
        <f t="shared" si="3"/>
        <v>No</v>
      </c>
      <c r="H61" s="11" t="str">
        <f t="shared" si="4"/>
        <v>Does not meet all three strict criteria</v>
      </c>
      <c r="I61" s="11">
        <f t="shared" si="5"/>
        <v>-1</v>
      </c>
    </row>
    <row r="62" spans="1:9" ht="15" customHeight="1" x14ac:dyDescent="0.3">
      <c r="A62" s="11" t="str">
        <f>'Customer Response Tracker'!A62</f>
        <v>M058</v>
      </c>
      <c r="B62" s="11">
        <f>'Customer Response Tracker'!E62</f>
        <v>4</v>
      </c>
      <c r="C62" s="11">
        <f>'Customer Response Tracker'!D62</f>
        <v>6</v>
      </c>
      <c r="D62" s="11">
        <f>'RFM Analysis'!B62</f>
        <v>46250</v>
      </c>
      <c r="E62" s="11">
        <f>'RFM Analysis'!C62</f>
        <v>15</v>
      </c>
      <c r="F62" s="11">
        <f>'RFM Analysis'!I62</f>
        <v>11</v>
      </c>
      <c r="G62" s="11" t="str">
        <f t="shared" si="3"/>
        <v>No</v>
      </c>
      <c r="H62" s="11" t="str">
        <f t="shared" si="4"/>
        <v>Does not meet all three strict criteria</v>
      </c>
      <c r="I62" s="11">
        <f t="shared" si="5"/>
        <v>-2</v>
      </c>
    </row>
    <row r="63" spans="1:9" ht="15" customHeight="1" x14ac:dyDescent="0.3">
      <c r="A63" s="11" t="str">
        <f>'Customer Response Tracker'!A63</f>
        <v>M059</v>
      </c>
      <c r="B63" s="11">
        <f>'Customer Response Tracker'!E63</f>
        <v>5</v>
      </c>
      <c r="C63" s="11">
        <f>'Customer Response Tracker'!D63</f>
        <v>4</v>
      </c>
      <c r="D63" s="11">
        <f>'RFM Analysis'!B63</f>
        <v>46239</v>
      </c>
      <c r="E63" s="11">
        <f>'RFM Analysis'!C63</f>
        <v>26</v>
      </c>
      <c r="F63" s="11">
        <f>'RFM Analysis'!I63</f>
        <v>9</v>
      </c>
      <c r="G63" s="11" t="str">
        <f t="shared" si="3"/>
        <v>No</v>
      </c>
      <c r="H63" s="11" t="str">
        <f t="shared" si="4"/>
        <v>Does not meet all three strict criteria</v>
      </c>
      <c r="I63" s="11">
        <f t="shared" si="5"/>
        <v>1</v>
      </c>
    </row>
    <row r="64" spans="1:9" ht="15" customHeight="1" x14ac:dyDescent="0.3">
      <c r="A64" s="11" t="str">
        <f>'Customer Response Tracker'!A64</f>
        <v>M060</v>
      </c>
      <c r="B64" s="11">
        <f>'Customer Response Tracker'!E64</f>
        <v>5</v>
      </c>
      <c r="C64" s="11">
        <f>'Customer Response Tracker'!D64</f>
        <v>5</v>
      </c>
      <c r="D64" s="11">
        <f>'RFM Analysis'!B64</f>
        <v>46263</v>
      </c>
      <c r="E64" s="11">
        <f>'RFM Analysis'!C64</f>
        <v>2</v>
      </c>
      <c r="F64" s="11">
        <f>'RFM Analysis'!I64</f>
        <v>12</v>
      </c>
      <c r="G64" s="11" t="str">
        <f t="shared" si="3"/>
        <v>No</v>
      </c>
      <c r="H64" s="11" t="str">
        <f t="shared" si="4"/>
        <v>Does not meet all three strict criteria</v>
      </c>
      <c r="I64" s="11">
        <f t="shared" si="5"/>
        <v>0</v>
      </c>
    </row>
    <row r="65" spans="1:9" ht="15" customHeight="1" x14ac:dyDescent="0.3">
      <c r="A65" s="11" t="str">
        <f>'Customer Response Tracker'!A65</f>
        <v>M061</v>
      </c>
      <c r="B65" s="11">
        <f>'Customer Response Tracker'!E65</f>
        <v>3</v>
      </c>
      <c r="C65" s="11">
        <f>'Customer Response Tracker'!D65</f>
        <v>2</v>
      </c>
      <c r="D65" s="11">
        <f>'RFM Analysis'!B65</f>
        <v>46225</v>
      </c>
      <c r="E65" s="11">
        <f>'RFM Analysis'!C65</f>
        <v>40</v>
      </c>
      <c r="F65" s="11">
        <f>'RFM Analysis'!I65</f>
        <v>9</v>
      </c>
      <c r="G65" s="11" t="str">
        <f t="shared" si="3"/>
        <v>No</v>
      </c>
      <c r="H65" s="11" t="str">
        <f t="shared" si="4"/>
        <v>Does not meet all three strict criteria</v>
      </c>
      <c r="I65" s="11">
        <f t="shared" si="5"/>
        <v>1</v>
      </c>
    </row>
    <row r="66" spans="1:9" ht="15" customHeight="1" x14ac:dyDescent="0.3">
      <c r="A66" s="11" t="str">
        <f>'Customer Response Tracker'!A66</f>
        <v>M062</v>
      </c>
      <c r="B66" s="11">
        <f>'Customer Response Tracker'!E66</f>
        <v>3</v>
      </c>
      <c r="C66" s="11">
        <f>'Customer Response Tracker'!D66</f>
        <v>5</v>
      </c>
      <c r="D66" s="11">
        <f>'RFM Analysis'!B66</f>
        <v>46249</v>
      </c>
      <c r="E66" s="11">
        <f>'RFM Analysis'!C66</f>
        <v>16</v>
      </c>
      <c r="F66" s="11">
        <f>'RFM Analysis'!I66</f>
        <v>8</v>
      </c>
      <c r="G66" s="11" t="str">
        <f t="shared" si="3"/>
        <v>No</v>
      </c>
      <c r="H66" s="11" t="str">
        <f t="shared" si="4"/>
        <v>Does not meet all three strict criteria</v>
      </c>
      <c r="I66" s="11">
        <f t="shared" si="5"/>
        <v>-2</v>
      </c>
    </row>
    <row r="67" spans="1:9" ht="15" customHeight="1" x14ac:dyDescent="0.3">
      <c r="A67" s="11" t="str">
        <f>'Customer Response Tracker'!A67</f>
        <v>M063</v>
      </c>
      <c r="B67" s="11">
        <f>'Customer Response Tracker'!E67</f>
        <v>9</v>
      </c>
      <c r="C67" s="11">
        <f>'Customer Response Tracker'!D67</f>
        <v>3</v>
      </c>
      <c r="D67" s="11">
        <f>'RFM Analysis'!B67</f>
        <v>46219</v>
      </c>
      <c r="E67" s="11">
        <f>'RFM Analysis'!C67</f>
        <v>46</v>
      </c>
      <c r="F67" s="11">
        <f>'RFM Analysis'!I67</f>
        <v>9</v>
      </c>
      <c r="G67" s="11" t="str">
        <f t="shared" si="3"/>
        <v>Yes</v>
      </c>
      <c r="H67" s="11" t="str">
        <f t="shared" si="4"/>
        <v>Previously regular customer, now less frequent and inactive for &gt;30 days</v>
      </c>
      <c r="I67" s="11">
        <f t="shared" si="5"/>
        <v>6</v>
      </c>
    </row>
    <row r="68" spans="1:9" ht="15" customHeight="1" x14ac:dyDescent="0.3">
      <c r="A68" s="11" t="str">
        <f>'Customer Response Tracker'!A68</f>
        <v>M064</v>
      </c>
      <c r="B68" s="11">
        <f>'Customer Response Tracker'!E68</f>
        <v>8</v>
      </c>
      <c r="C68" s="11">
        <f>'Customer Response Tracker'!D68</f>
        <v>5</v>
      </c>
      <c r="D68" s="11">
        <f>'RFM Analysis'!B68</f>
        <v>46239</v>
      </c>
      <c r="E68" s="11">
        <f>'RFM Analysis'!C68</f>
        <v>26</v>
      </c>
      <c r="F68" s="11">
        <f>'RFM Analysis'!I68</f>
        <v>11</v>
      </c>
      <c r="G68" s="11" t="str">
        <f t="shared" si="3"/>
        <v>No</v>
      </c>
      <c r="H68" s="11" t="str">
        <f t="shared" si="4"/>
        <v>Does not meet all three strict criteria</v>
      </c>
      <c r="I68" s="11">
        <f t="shared" si="5"/>
        <v>3</v>
      </c>
    </row>
    <row r="69" spans="1:9" ht="15" customHeight="1" x14ac:dyDescent="0.3">
      <c r="A69" s="11" t="str">
        <f>'Customer Response Tracker'!A69</f>
        <v>M065</v>
      </c>
      <c r="B69" s="11">
        <f>'Customer Response Tracker'!E69</f>
        <v>4</v>
      </c>
      <c r="C69" s="11">
        <f>'Customer Response Tracker'!D69</f>
        <v>2</v>
      </c>
      <c r="D69" s="11">
        <f>'RFM Analysis'!B69</f>
        <v>46248</v>
      </c>
      <c r="E69" s="11">
        <f>'RFM Analysis'!C69</f>
        <v>17</v>
      </c>
      <c r="F69" s="11">
        <f>'RFM Analysis'!I69</f>
        <v>9</v>
      </c>
      <c r="G69" s="11" t="str">
        <f t="shared" ref="G69:G84" si="6">IF(AND(E69&gt;30,B69&gt;=4,C69&lt;B69),"Yes","No")</f>
        <v>No</v>
      </c>
      <c r="H69" s="11" t="str">
        <f t="shared" ref="H69:H84" si="7">IF(G69="Yes","Previously regular customer, now less frequent and inactive for &gt;30 days","Does not meet all three strict criteria")</f>
        <v>Does not meet all three strict criteria</v>
      </c>
      <c r="I69" s="11">
        <f t="shared" ref="I69:I84" si="8">B69-C69</f>
        <v>2</v>
      </c>
    </row>
    <row r="70" spans="1:9" ht="15" customHeight="1" x14ac:dyDescent="0.3">
      <c r="A70" s="11" t="str">
        <f>'Customer Response Tracker'!A70</f>
        <v>M066</v>
      </c>
      <c r="B70" s="11">
        <f>'Customer Response Tracker'!E70</f>
        <v>7</v>
      </c>
      <c r="C70" s="11">
        <f>'Customer Response Tracker'!D70</f>
        <v>8</v>
      </c>
      <c r="D70" s="11">
        <f>'RFM Analysis'!B70</f>
        <v>46241</v>
      </c>
      <c r="E70" s="11">
        <f>'RFM Analysis'!C70</f>
        <v>24</v>
      </c>
      <c r="F70" s="11">
        <f>'RFM Analysis'!I70</f>
        <v>9</v>
      </c>
      <c r="G70" s="11" t="str">
        <f t="shared" si="6"/>
        <v>No</v>
      </c>
      <c r="H70" s="11" t="str">
        <f t="shared" si="7"/>
        <v>Does not meet all three strict criteria</v>
      </c>
      <c r="I70" s="11">
        <f t="shared" si="8"/>
        <v>-1</v>
      </c>
    </row>
    <row r="71" spans="1:9" ht="15" customHeight="1" x14ac:dyDescent="0.3">
      <c r="A71" s="11" t="str">
        <f>'Customer Response Tracker'!A71</f>
        <v>M067</v>
      </c>
      <c r="B71" s="11">
        <f>'Customer Response Tracker'!E71</f>
        <v>8</v>
      </c>
      <c r="C71" s="11">
        <f>'Customer Response Tracker'!D71</f>
        <v>8</v>
      </c>
      <c r="D71" s="11">
        <f>'RFM Analysis'!B71</f>
        <v>46251</v>
      </c>
      <c r="E71" s="11">
        <f>'RFM Analysis'!C71</f>
        <v>14</v>
      </c>
      <c r="F71" s="11">
        <f>'RFM Analysis'!I71</f>
        <v>13</v>
      </c>
      <c r="G71" s="11" t="str">
        <f t="shared" si="6"/>
        <v>No</v>
      </c>
      <c r="H71" s="11" t="str">
        <f t="shared" si="7"/>
        <v>Does not meet all three strict criteria</v>
      </c>
      <c r="I71" s="11">
        <f t="shared" si="8"/>
        <v>0</v>
      </c>
    </row>
    <row r="72" spans="1:9" ht="15" customHeight="1" x14ac:dyDescent="0.3">
      <c r="A72" s="11" t="str">
        <f>'Customer Response Tracker'!A72</f>
        <v>M068</v>
      </c>
      <c r="B72" s="11">
        <f>'Customer Response Tracker'!E72</f>
        <v>8</v>
      </c>
      <c r="C72" s="11">
        <f>'Customer Response Tracker'!D72</f>
        <v>8</v>
      </c>
      <c r="D72" s="11">
        <f>'RFM Analysis'!B72</f>
        <v>46238</v>
      </c>
      <c r="E72" s="11">
        <f>'RFM Analysis'!C72</f>
        <v>27</v>
      </c>
      <c r="F72" s="11">
        <f>'RFM Analysis'!I72</f>
        <v>9</v>
      </c>
      <c r="G72" s="11" t="str">
        <f t="shared" si="6"/>
        <v>No</v>
      </c>
      <c r="H72" s="11" t="str">
        <f t="shared" si="7"/>
        <v>Does not meet all three strict criteria</v>
      </c>
      <c r="I72" s="11">
        <f t="shared" si="8"/>
        <v>0</v>
      </c>
    </row>
    <row r="73" spans="1:9" ht="15" customHeight="1" x14ac:dyDescent="0.3">
      <c r="A73" s="11" t="str">
        <f>'Customer Response Tracker'!A73</f>
        <v>M069</v>
      </c>
      <c r="B73" s="11">
        <f>'Customer Response Tracker'!E73</f>
        <v>8</v>
      </c>
      <c r="C73" s="11">
        <f>'Customer Response Tracker'!D73</f>
        <v>7</v>
      </c>
      <c r="D73" s="11">
        <f>'RFM Analysis'!B73</f>
        <v>46261</v>
      </c>
      <c r="E73" s="11">
        <f>'RFM Analysis'!C73</f>
        <v>4</v>
      </c>
      <c r="F73" s="11">
        <f>'RFM Analysis'!I73</f>
        <v>13</v>
      </c>
      <c r="G73" s="11" t="str">
        <f t="shared" si="6"/>
        <v>No</v>
      </c>
      <c r="H73" s="11" t="str">
        <f t="shared" si="7"/>
        <v>Does not meet all three strict criteria</v>
      </c>
      <c r="I73" s="11">
        <f t="shared" si="8"/>
        <v>1</v>
      </c>
    </row>
    <row r="74" spans="1:9" ht="15" customHeight="1" x14ac:dyDescent="0.3">
      <c r="A74" s="11" t="str">
        <f>'Customer Response Tracker'!A74</f>
        <v>M070</v>
      </c>
      <c r="B74" s="11">
        <f>'Customer Response Tracker'!E74</f>
        <v>6</v>
      </c>
      <c r="C74" s="11">
        <f>'Customer Response Tracker'!D74</f>
        <v>2</v>
      </c>
      <c r="D74" s="11">
        <f>'RFM Analysis'!B74</f>
        <v>46212</v>
      </c>
      <c r="E74" s="11">
        <f>'RFM Analysis'!C74</f>
        <v>53</v>
      </c>
      <c r="F74" s="11">
        <f>'RFM Analysis'!I74</f>
        <v>6</v>
      </c>
      <c r="G74" s="11" t="str">
        <f t="shared" si="6"/>
        <v>Yes</v>
      </c>
      <c r="H74" s="11" t="str">
        <f t="shared" si="7"/>
        <v>Previously regular customer, now less frequent and inactive for &gt;30 days</v>
      </c>
      <c r="I74" s="11">
        <f t="shared" si="8"/>
        <v>4</v>
      </c>
    </row>
    <row r="75" spans="1:9" ht="15" customHeight="1" x14ac:dyDescent="0.3">
      <c r="A75" s="11" t="str">
        <f>'Customer Response Tracker'!A75</f>
        <v>M071</v>
      </c>
      <c r="B75" s="11">
        <f>'Customer Response Tracker'!E75</f>
        <v>9</v>
      </c>
      <c r="C75" s="11">
        <f>'Customer Response Tracker'!D75</f>
        <v>9</v>
      </c>
      <c r="D75" s="11">
        <f>'RFM Analysis'!B75</f>
        <v>46255</v>
      </c>
      <c r="E75" s="11">
        <f>'RFM Analysis'!C75</f>
        <v>10</v>
      </c>
      <c r="F75" s="11">
        <f>'RFM Analysis'!I75</f>
        <v>11</v>
      </c>
      <c r="G75" s="11" t="str">
        <f t="shared" si="6"/>
        <v>No</v>
      </c>
      <c r="H75" s="11" t="str">
        <f t="shared" si="7"/>
        <v>Does not meet all three strict criteria</v>
      </c>
      <c r="I75" s="11">
        <f t="shared" si="8"/>
        <v>0</v>
      </c>
    </row>
    <row r="76" spans="1:9" ht="15" customHeight="1" x14ac:dyDescent="0.3">
      <c r="A76" s="11" t="str">
        <f>'Customer Response Tracker'!A76</f>
        <v>M072</v>
      </c>
      <c r="B76" s="11">
        <f>'Customer Response Tracker'!E76</f>
        <v>7</v>
      </c>
      <c r="C76" s="11">
        <f>'Customer Response Tracker'!D76</f>
        <v>8</v>
      </c>
      <c r="D76" s="11">
        <f>'RFM Analysis'!B76</f>
        <v>46251</v>
      </c>
      <c r="E76" s="11">
        <f>'RFM Analysis'!C76</f>
        <v>14</v>
      </c>
      <c r="F76" s="11">
        <f>'RFM Analysis'!I76</f>
        <v>11</v>
      </c>
      <c r="G76" s="11" t="str">
        <f t="shared" si="6"/>
        <v>No</v>
      </c>
      <c r="H76" s="11" t="str">
        <f t="shared" si="7"/>
        <v>Does not meet all three strict criteria</v>
      </c>
      <c r="I76" s="11">
        <f t="shared" si="8"/>
        <v>-1</v>
      </c>
    </row>
    <row r="77" spans="1:9" ht="15" customHeight="1" x14ac:dyDescent="0.3">
      <c r="A77" s="11" t="str">
        <f>'Customer Response Tracker'!A77</f>
        <v>M073</v>
      </c>
      <c r="B77" s="11">
        <f>'Customer Response Tracker'!E77</f>
        <v>5</v>
      </c>
      <c r="C77" s="11">
        <f>'Customer Response Tracker'!D77</f>
        <v>4</v>
      </c>
      <c r="D77" s="11">
        <f>'RFM Analysis'!B77</f>
        <v>46244</v>
      </c>
      <c r="E77" s="11">
        <f>'RFM Analysis'!C77</f>
        <v>21</v>
      </c>
      <c r="F77" s="11">
        <f>'RFM Analysis'!I77</f>
        <v>10</v>
      </c>
      <c r="G77" s="11" t="str">
        <f t="shared" si="6"/>
        <v>No</v>
      </c>
      <c r="H77" s="11" t="str">
        <f t="shared" si="7"/>
        <v>Does not meet all three strict criteria</v>
      </c>
      <c r="I77" s="11">
        <f t="shared" si="8"/>
        <v>1</v>
      </c>
    </row>
    <row r="78" spans="1:9" ht="15" customHeight="1" x14ac:dyDescent="0.3">
      <c r="A78" s="11" t="str">
        <f>'Customer Response Tracker'!A78</f>
        <v>M074</v>
      </c>
      <c r="B78" s="11">
        <f>'Customer Response Tracker'!E78</f>
        <v>6</v>
      </c>
      <c r="C78" s="11">
        <f>'Customer Response Tracker'!D78</f>
        <v>6</v>
      </c>
      <c r="D78" s="11">
        <f>'RFM Analysis'!B78</f>
        <v>46239</v>
      </c>
      <c r="E78" s="11">
        <f>'RFM Analysis'!C78</f>
        <v>26</v>
      </c>
      <c r="F78" s="11">
        <f>'RFM Analysis'!I78</f>
        <v>8</v>
      </c>
      <c r="G78" s="11" t="str">
        <f t="shared" si="6"/>
        <v>No</v>
      </c>
      <c r="H78" s="11" t="str">
        <f t="shared" si="7"/>
        <v>Does not meet all three strict criteria</v>
      </c>
      <c r="I78" s="11">
        <f t="shared" si="8"/>
        <v>0</v>
      </c>
    </row>
    <row r="79" spans="1:9" ht="15" customHeight="1" x14ac:dyDescent="0.3">
      <c r="A79" s="11" t="str">
        <f>'Customer Response Tracker'!A79</f>
        <v>M075</v>
      </c>
      <c r="B79" s="11">
        <f>'Customer Response Tracker'!E79</f>
        <v>4</v>
      </c>
      <c r="C79" s="11">
        <f>'Customer Response Tracker'!D79</f>
        <v>2</v>
      </c>
      <c r="D79" s="11">
        <f>'RFM Analysis'!B79</f>
        <v>46251</v>
      </c>
      <c r="E79" s="11">
        <f>'RFM Analysis'!C79</f>
        <v>14</v>
      </c>
      <c r="F79" s="11">
        <f>'RFM Analysis'!I79</f>
        <v>10</v>
      </c>
      <c r="G79" s="11" t="str">
        <f t="shared" si="6"/>
        <v>No</v>
      </c>
      <c r="H79" s="11" t="str">
        <f t="shared" si="7"/>
        <v>Does not meet all three strict criteria</v>
      </c>
      <c r="I79" s="11">
        <f t="shared" si="8"/>
        <v>2</v>
      </c>
    </row>
    <row r="80" spans="1:9" ht="15" customHeight="1" x14ac:dyDescent="0.3">
      <c r="A80" s="11" t="str">
        <f>'Customer Response Tracker'!A80</f>
        <v>M076</v>
      </c>
      <c r="B80" s="11">
        <f>'Customer Response Tracker'!E80</f>
        <v>5</v>
      </c>
      <c r="C80" s="11">
        <f>'Customer Response Tracker'!D80</f>
        <v>5</v>
      </c>
      <c r="D80" s="11">
        <f>'RFM Analysis'!B80</f>
        <v>46240</v>
      </c>
      <c r="E80" s="11">
        <f>'RFM Analysis'!C80</f>
        <v>25</v>
      </c>
      <c r="F80" s="11">
        <f>'RFM Analysis'!I80</f>
        <v>10</v>
      </c>
      <c r="G80" s="11" t="str">
        <f t="shared" si="6"/>
        <v>No</v>
      </c>
      <c r="H80" s="11" t="str">
        <f t="shared" si="7"/>
        <v>Does not meet all three strict criteria</v>
      </c>
      <c r="I80" s="11">
        <f t="shared" si="8"/>
        <v>0</v>
      </c>
    </row>
    <row r="81" spans="1:9" ht="15" customHeight="1" x14ac:dyDescent="0.3">
      <c r="A81" s="11" t="str">
        <f>'Customer Response Tracker'!A81</f>
        <v>M077</v>
      </c>
      <c r="B81" s="11">
        <f>'Customer Response Tracker'!E81</f>
        <v>5</v>
      </c>
      <c r="C81" s="11">
        <f>'Customer Response Tracker'!D81</f>
        <v>2</v>
      </c>
      <c r="D81" s="11">
        <f>'RFM Analysis'!B81</f>
        <v>46214</v>
      </c>
      <c r="E81" s="11">
        <f>'RFM Analysis'!C81</f>
        <v>51</v>
      </c>
      <c r="F81" s="11">
        <f>'RFM Analysis'!I81</f>
        <v>5</v>
      </c>
      <c r="G81" s="11" t="str">
        <f t="shared" si="6"/>
        <v>Yes</v>
      </c>
      <c r="H81" s="11" t="str">
        <f t="shared" si="7"/>
        <v>Previously regular customer, now less frequent and inactive for &gt;30 days</v>
      </c>
      <c r="I81" s="11">
        <f t="shared" si="8"/>
        <v>3</v>
      </c>
    </row>
    <row r="82" spans="1:9" ht="15" customHeight="1" x14ac:dyDescent="0.3">
      <c r="A82" s="11" t="str">
        <f>'Customer Response Tracker'!A82</f>
        <v>M078</v>
      </c>
      <c r="B82" s="11">
        <f>'Customer Response Tracker'!E82</f>
        <v>4</v>
      </c>
      <c r="C82" s="11">
        <f>'Customer Response Tracker'!D82</f>
        <v>5</v>
      </c>
      <c r="D82" s="11">
        <f>'RFM Analysis'!B82</f>
        <v>46245</v>
      </c>
      <c r="E82" s="11">
        <f>'RFM Analysis'!C82</f>
        <v>20</v>
      </c>
      <c r="F82" s="11">
        <f>'RFM Analysis'!I82</f>
        <v>12</v>
      </c>
      <c r="G82" s="11" t="str">
        <f t="shared" si="6"/>
        <v>No</v>
      </c>
      <c r="H82" s="11" t="str">
        <f t="shared" si="7"/>
        <v>Does not meet all three strict criteria</v>
      </c>
      <c r="I82" s="11">
        <f t="shared" si="8"/>
        <v>-1</v>
      </c>
    </row>
    <row r="83" spans="1:9" ht="15" customHeight="1" x14ac:dyDescent="0.3">
      <c r="A83" s="11" t="str">
        <f>'Customer Response Tracker'!A83</f>
        <v>M079</v>
      </c>
      <c r="B83" s="11">
        <f>'Customer Response Tracker'!E83</f>
        <v>3</v>
      </c>
      <c r="C83" s="11">
        <f>'Customer Response Tracker'!D83</f>
        <v>2</v>
      </c>
      <c r="D83" s="11">
        <f>'RFM Analysis'!B83</f>
        <v>46263</v>
      </c>
      <c r="E83" s="11">
        <f>'RFM Analysis'!C83</f>
        <v>2</v>
      </c>
      <c r="F83" s="11">
        <f>'RFM Analysis'!I83</f>
        <v>11</v>
      </c>
      <c r="G83" s="11" t="str">
        <f t="shared" si="6"/>
        <v>No</v>
      </c>
      <c r="H83" s="11" t="str">
        <f t="shared" si="7"/>
        <v>Does not meet all three strict criteria</v>
      </c>
      <c r="I83" s="11">
        <f t="shared" si="8"/>
        <v>1</v>
      </c>
    </row>
    <row r="84" spans="1:9" ht="15" customHeight="1" x14ac:dyDescent="0.3">
      <c r="A84" s="11" t="str">
        <f>'Customer Response Tracker'!A84</f>
        <v>M080</v>
      </c>
      <c r="B84" s="11">
        <f>'Customer Response Tracker'!E84</f>
        <v>8</v>
      </c>
      <c r="C84" s="11">
        <f>'Customer Response Tracker'!D84</f>
        <v>10</v>
      </c>
      <c r="D84" s="11">
        <f>'RFM Analysis'!B84</f>
        <v>46239</v>
      </c>
      <c r="E84" s="11">
        <f>'RFM Analysis'!C84</f>
        <v>26</v>
      </c>
      <c r="F84" s="11">
        <f>'RFM Analysis'!I84</f>
        <v>11</v>
      </c>
      <c r="G84" s="11" t="str">
        <f t="shared" si="6"/>
        <v>No</v>
      </c>
      <c r="H84" s="11" t="str">
        <f t="shared" si="7"/>
        <v>Does not meet all three strict criteria</v>
      </c>
      <c r="I84" s="11">
        <f t="shared" si="8"/>
        <v>-2</v>
      </c>
    </row>
    <row r="85" spans="1:9" ht="15" customHeight="1" x14ac:dyDescent="0.3">
      <c r="A85" s="9"/>
      <c r="B85" s="9"/>
      <c r="C85" s="9"/>
      <c r="D85" s="9"/>
      <c r="E85" s="9"/>
      <c r="F85" s="9"/>
      <c r="G85" s="9"/>
      <c r="H85" s="9"/>
      <c r="I85" s="9"/>
    </row>
    <row r="87" spans="1:9" ht="15" customHeight="1" x14ac:dyDescent="0.3">
      <c r="A87" s="18" t="s">
        <v>206</v>
      </c>
      <c r="B87" s="18">
        <f>COUNTIF(G5:G84,"Yes")</f>
        <v>14</v>
      </c>
    </row>
    <row r="88" spans="1:9" ht="15" customHeight="1" x14ac:dyDescent="0.3">
      <c r="A88" s="18" t="s">
        <v>207</v>
      </c>
      <c r="B88" s="18">
        <f>B87/COUNTA(A5:A84)</f>
        <v>0.17499999999999999</v>
      </c>
    </row>
    <row r="89" spans="1:9" ht="15" customHeight="1" x14ac:dyDescent="0.3">
      <c r="A89" s="18" t="s">
        <v>208</v>
      </c>
      <c r="B89" s="18">
        <f>COUNTIF('Customer Segmentation'!F5:F84,"At-Risk Customers")</f>
        <v>16</v>
      </c>
    </row>
    <row r="90" spans="1:9" ht="15" customHeight="1" x14ac:dyDescent="0.3">
      <c r="A90" s="2" t="s">
        <v>209</v>
      </c>
      <c r="B90" s="32" t="s">
        <v>210</v>
      </c>
      <c r="C90" s="32"/>
      <c r="D90" s="32"/>
      <c r="E90" s="32"/>
      <c r="F90" s="32"/>
      <c r="G90" s="32"/>
      <c r="H90" s="32"/>
      <c r="I90" s="32"/>
    </row>
  </sheetData>
  <mergeCells count="3">
    <mergeCell ref="A1:I1"/>
    <mergeCell ref="B90:I90"/>
    <mergeCell ref="A2:I2"/>
  </mergeCells>
  <conditionalFormatting sqref="G5:G84">
    <cfRule type="cellIs" dxfId="0" priority="2" operator="equal">
      <formula>"Yes"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0"/>
  <sheetViews>
    <sheetView showGridLines="0" zoomScaleNormal="100" workbookViewId="0">
      <pane ySplit="4" topLeftCell="A27" activePane="bottomLeft" state="frozen"/>
      <selection pane="bottomLeft" activeCell="G34" sqref="G34"/>
    </sheetView>
  </sheetViews>
  <sheetFormatPr defaultColWidth="8.6640625" defaultRowHeight="15" customHeight="1" x14ac:dyDescent="0.3"/>
  <cols>
    <col min="1" max="3" width="14" customWidth="1"/>
    <col min="4" max="4" width="18" customWidth="1"/>
    <col min="5" max="5" width="14" customWidth="1"/>
    <col min="6" max="6" width="48" customWidth="1"/>
    <col min="7" max="7" width="25" customWidth="1"/>
    <col min="8" max="8" width="24" customWidth="1"/>
    <col min="9" max="9" width="15" customWidth="1"/>
    <col min="10" max="10" width="16" customWidth="1"/>
  </cols>
  <sheetData>
    <row r="1" spans="1:10" ht="27.75" customHeight="1" x14ac:dyDescent="0.3">
      <c r="A1" s="26" t="s">
        <v>211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5" customHeight="1" x14ac:dyDescent="0.3">
      <c r="A2" s="29" t="s">
        <v>212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27.75" customHeight="1" x14ac:dyDescent="0.3">
      <c r="A4" s="4" t="s">
        <v>23</v>
      </c>
      <c r="B4" s="4" t="s">
        <v>213</v>
      </c>
      <c r="C4" s="4" t="s">
        <v>214</v>
      </c>
      <c r="D4" s="4" t="s">
        <v>175</v>
      </c>
      <c r="E4" s="4" t="s">
        <v>215</v>
      </c>
      <c r="F4" s="4" t="s">
        <v>33</v>
      </c>
      <c r="G4" s="4" t="s">
        <v>35</v>
      </c>
      <c r="H4" s="4" t="s">
        <v>216</v>
      </c>
      <c r="I4" s="4" t="s">
        <v>34</v>
      </c>
      <c r="J4" s="4" t="s">
        <v>217</v>
      </c>
    </row>
    <row r="5" spans="1:10" ht="15" customHeight="1" x14ac:dyDescent="0.3">
      <c r="A5" s="3" t="str">
        <f>'At-Risk Analysis'!A7</f>
        <v>M003</v>
      </c>
      <c r="B5" s="3">
        <f>'At-Risk Analysis'!B7</f>
        <v>6</v>
      </c>
      <c r="C5" s="3">
        <f>'At-Risk Analysis'!C7</f>
        <v>1</v>
      </c>
      <c r="D5" s="3">
        <f>'At-Risk Analysis'!E7</f>
        <v>32</v>
      </c>
      <c r="E5" s="3">
        <f>'Customer Response Tracker'!I7</f>
        <v>2</v>
      </c>
      <c r="F5" s="3" t="str">
        <f>'Customer Response Tracker'!K7</f>
        <v>Food taste has become inconsistent on recent visits</v>
      </c>
      <c r="G5" s="3" t="str">
        <f>'Customer Response Tracker'!M7</f>
        <v>Combo meal deal</v>
      </c>
      <c r="H5" s="3" t="str">
        <f t="shared" ref="H5:H18" si="0">IF(OR(ISNUMBER(SEARCH("taste",F5)),ISNUMBER(SEARCH("portion",F5)),ISNUMBER(SEARCH("momos",F5)),ISNUMBER(SEARCH("packaging",F5)),ISNUMBER(SEARCH("variety",F5)),ISNUMBER(SEARCH("menu",F5))),"Product / Quality",IF(OR(ISNUMBER(SEARCH("service",F5)),ISNUMBER(SEARCH("waiting",F5)),ISNUMBER(SEARCH("rush",F5)),ISNUMBER(SEARCH("seating",F5)),ISNUMBER(SEARCH("crowded",F5))),"Service / Experience",IF(OR(ISNUMBER(SEARCH("working from home",F5)),ISNUMBER(SEARCH("commute",F5)),ISNUMBER(SEARCH("convenient",F5))),"Convenience / Location",IF(OR(ISNUMBER(SEARCH("schedule",F5)),ISNUMBER(SEARCH("busy",F5))),"Time / Schedule",IF(OR(ISNUMBER(SEARCH("affordable",F5)),ISNUMBER(SEARCH("budget",F5)),ISNUMBER(SEARCH("price",F5))),"Price / Affordability","Other")))))</f>
        <v>Product / Quality</v>
      </c>
      <c r="I5" s="3" t="str">
        <f>'Customer Response Tracker'!L7</f>
        <v>Maybe</v>
      </c>
      <c r="J5" s="3">
        <f>'Customer Response Tracker'!H7</f>
        <v>402</v>
      </c>
    </row>
    <row r="6" spans="1:10" ht="15" customHeight="1" x14ac:dyDescent="0.3">
      <c r="A6" s="11" t="str">
        <f>'At-Risk Analysis'!A12</f>
        <v>M008</v>
      </c>
      <c r="B6" s="11">
        <f>'At-Risk Analysis'!B12</f>
        <v>7</v>
      </c>
      <c r="C6" s="11">
        <f>'At-Risk Analysis'!C12</f>
        <v>1</v>
      </c>
      <c r="D6" s="11">
        <f>'At-Risk Analysis'!E12</f>
        <v>33</v>
      </c>
      <c r="E6" s="11">
        <f>'Customer Response Tracker'!I12</f>
        <v>3</v>
      </c>
      <c r="F6" s="11" t="str">
        <f>'Customer Response Tracker'!K12</f>
        <v>Service is slow during the evening rush</v>
      </c>
      <c r="G6" s="11" t="str">
        <f>'Customer Response Tracker'!M12</f>
        <v>10% weekday discount</v>
      </c>
      <c r="H6" s="11" t="str">
        <f t="shared" si="0"/>
        <v>Service / Experience</v>
      </c>
      <c r="I6" s="11" t="str">
        <f>'Customer Response Tracker'!L12</f>
        <v>Yes</v>
      </c>
      <c r="J6" s="11">
        <f>'Customer Response Tracker'!H12</f>
        <v>221</v>
      </c>
    </row>
    <row r="7" spans="1:10" ht="15" customHeight="1" x14ac:dyDescent="0.3">
      <c r="A7" s="11" t="str">
        <f>'At-Risk Analysis'!A16</f>
        <v>M012</v>
      </c>
      <c r="B7" s="11">
        <f>'At-Risk Analysis'!B16</f>
        <v>8</v>
      </c>
      <c r="C7" s="11">
        <f>'At-Risk Analysis'!C16</f>
        <v>1</v>
      </c>
      <c r="D7" s="11">
        <f>'At-Risk Analysis'!E16</f>
        <v>35</v>
      </c>
      <c r="E7" s="11">
        <f>'Customer Response Tracker'!I16</f>
        <v>2</v>
      </c>
      <c r="F7" s="11" t="str">
        <f>'Customer Response Tracker'!K16</f>
        <v>Portion size feels smaller than before</v>
      </c>
      <c r="G7" s="11" t="str">
        <f>'Customer Response Tracker'!M16</f>
        <v>Free beverage add-on</v>
      </c>
      <c r="H7" s="11" t="str">
        <f t="shared" si="0"/>
        <v>Product / Quality</v>
      </c>
      <c r="I7" s="11" t="str">
        <f>'Customer Response Tracker'!L16</f>
        <v>Maybe</v>
      </c>
      <c r="J7" s="11">
        <f>'Customer Response Tracker'!H16</f>
        <v>196</v>
      </c>
    </row>
    <row r="8" spans="1:10" ht="27.75" customHeight="1" x14ac:dyDescent="0.3">
      <c r="A8" s="11" t="str">
        <f>'At-Risk Analysis'!A20</f>
        <v>M016</v>
      </c>
      <c r="B8" s="11">
        <f>'At-Risk Analysis'!B20</f>
        <v>6</v>
      </c>
      <c r="C8" s="11">
        <f>'At-Risk Analysis'!C20</f>
        <v>1</v>
      </c>
      <c r="D8" s="11">
        <f>'At-Risk Analysis'!E20</f>
        <v>38</v>
      </c>
      <c r="E8" s="11">
        <f>'Customer Response Tracker'!I20</f>
        <v>1</v>
      </c>
      <c r="F8" s="11" t="str">
        <f>'Customer Response Tracker'!K20</f>
        <v>Started working from home, so the outlet is less convenient</v>
      </c>
      <c r="G8" s="11" t="str">
        <f>'Customer Response Tracker'!M20</f>
        <v>Loyalty stamp card</v>
      </c>
      <c r="H8" s="11" t="str">
        <f t="shared" si="0"/>
        <v>Convenience / Location</v>
      </c>
      <c r="I8" s="11" t="str">
        <f>'Customer Response Tracker'!L20</f>
        <v>Yes</v>
      </c>
      <c r="J8" s="11">
        <f>'Customer Response Tracker'!H20</f>
        <v>386</v>
      </c>
    </row>
    <row r="9" spans="1:10" ht="15" customHeight="1" x14ac:dyDescent="0.3">
      <c r="A9" s="11" t="str">
        <f>'At-Risk Analysis'!A24</f>
        <v>M020</v>
      </c>
      <c r="B9" s="11">
        <f>'At-Risk Analysis'!B24</f>
        <v>8</v>
      </c>
      <c r="C9" s="11">
        <f>'At-Risk Analysis'!C24</f>
        <v>2</v>
      </c>
      <c r="D9" s="11">
        <f>'At-Risk Analysis'!E24</f>
        <v>50</v>
      </c>
      <c r="E9" s="11">
        <f>'Customer Response Tracker'!I24</f>
        <v>4</v>
      </c>
      <c r="F9" s="11" t="str">
        <f>'Customer Response Tracker'!K24</f>
        <v>Too much waiting time for takeaway orders</v>
      </c>
      <c r="G9" s="11" t="str">
        <f>'Customer Response Tracker'!M24</f>
        <v>10% weekday discount</v>
      </c>
      <c r="H9" s="11" t="str">
        <f t="shared" si="0"/>
        <v>Service / Experience</v>
      </c>
      <c r="I9" s="11" t="str">
        <f>'Customer Response Tracker'!L24</f>
        <v>Maybe</v>
      </c>
      <c r="J9" s="11">
        <f>'Customer Response Tracker'!H24</f>
        <v>341</v>
      </c>
    </row>
    <row r="10" spans="1:10" ht="15" customHeight="1" x14ac:dyDescent="0.3">
      <c r="A10" s="11" t="str">
        <f>'At-Risk Analysis'!A29</f>
        <v>M025</v>
      </c>
      <c r="B10" s="11">
        <f>'At-Risk Analysis'!B29</f>
        <v>5</v>
      </c>
      <c r="C10" s="11">
        <f>'At-Risk Analysis'!C29</f>
        <v>3</v>
      </c>
      <c r="D10" s="11">
        <f>'At-Risk Analysis'!E29</f>
        <v>43</v>
      </c>
      <c r="E10" s="11">
        <f>'Customer Response Tracker'!I29</f>
        <v>3</v>
      </c>
      <c r="F10" s="11" t="str">
        <f>'Customer Response Tracker'!K29</f>
        <v>Would like more affordable combo options</v>
      </c>
      <c r="G10" s="11" t="str">
        <f>'Customer Response Tracker'!M29</f>
        <v>Combo meal deal</v>
      </c>
      <c r="H10" s="11" t="str">
        <f t="shared" si="0"/>
        <v>Price / Affordability</v>
      </c>
      <c r="I10" s="11" t="str">
        <f>'Customer Response Tracker'!L29</f>
        <v>Maybe</v>
      </c>
      <c r="J10" s="11">
        <f>'Customer Response Tracker'!H29</f>
        <v>397</v>
      </c>
    </row>
    <row r="11" spans="1:10" ht="15" customHeight="1" x14ac:dyDescent="0.3">
      <c r="A11" s="11" t="str">
        <f>'At-Risk Analysis'!A35</f>
        <v>M031</v>
      </c>
      <c r="B11" s="11">
        <f>'At-Risk Analysis'!B35</f>
        <v>6</v>
      </c>
      <c r="C11" s="11">
        <f>'At-Risk Analysis'!C35</f>
        <v>3</v>
      </c>
      <c r="D11" s="11">
        <f>'At-Risk Analysis'!E35</f>
        <v>44</v>
      </c>
      <c r="E11" s="11">
        <f>'Customer Response Tracker'!I35</f>
        <v>2</v>
      </c>
      <c r="F11" s="11" t="str">
        <f>'Customer Response Tracker'!K35</f>
        <v>Dining area feels crowded at peak hours</v>
      </c>
      <c r="G11" s="11" t="str">
        <f>'Customer Response Tracker'!M35</f>
        <v>Loyalty stamp card</v>
      </c>
      <c r="H11" s="11" t="str">
        <f t="shared" si="0"/>
        <v>Service / Experience</v>
      </c>
      <c r="I11" s="11" t="str">
        <f>'Customer Response Tracker'!L35</f>
        <v>Yes</v>
      </c>
      <c r="J11" s="11">
        <f>'Customer Response Tracker'!H35</f>
        <v>256</v>
      </c>
    </row>
    <row r="12" spans="1:10" ht="15" customHeight="1" x14ac:dyDescent="0.3">
      <c r="A12" s="11" t="str">
        <f>'At-Risk Analysis'!A41</f>
        <v>M037</v>
      </c>
      <c r="B12" s="11">
        <f>'At-Risk Analysis'!B41</f>
        <v>8</v>
      </c>
      <c r="C12" s="11">
        <f>'At-Risk Analysis'!C41</f>
        <v>3</v>
      </c>
      <c r="D12" s="11">
        <f>'At-Risk Analysis'!E41</f>
        <v>32</v>
      </c>
      <c r="E12" s="11">
        <f>'Customer Response Tracker'!I41</f>
        <v>4</v>
      </c>
      <c r="F12" s="11" t="str">
        <f>'Customer Response Tracker'!K41</f>
        <v>Menu has not changed much in recent months</v>
      </c>
      <c r="G12" s="11" t="str">
        <f>'Customer Response Tracker'!M41</f>
        <v>Free beverage add-on</v>
      </c>
      <c r="H12" s="11" t="str">
        <f t="shared" si="0"/>
        <v>Product / Quality</v>
      </c>
      <c r="I12" s="11" t="str">
        <f>'Customer Response Tracker'!L41</f>
        <v>Maybe</v>
      </c>
      <c r="J12" s="11">
        <f>'Customer Response Tracker'!H41</f>
        <v>323</v>
      </c>
    </row>
    <row r="13" spans="1:10" ht="15" customHeight="1" x14ac:dyDescent="0.3">
      <c r="A13" s="11" t="str">
        <f>'At-Risk Analysis'!A48</f>
        <v>M044</v>
      </c>
      <c r="B13" s="11">
        <f>'At-Risk Analysis'!B48</f>
        <v>4</v>
      </c>
      <c r="C13" s="11">
        <f>'At-Risk Analysis'!C48</f>
        <v>1</v>
      </c>
      <c r="D13" s="11">
        <f>'At-Risk Analysis'!E48</f>
        <v>51</v>
      </c>
      <c r="E13" s="11">
        <f>'Customer Response Tracker'!I48</f>
        <v>2</v>
      </c>
      <c r="F13" s="11" t="str">
        <f>'Customer Response Tracker'!K48</f>
        <v>More seating would make visits easier</v>
      </c>
      <c r="G13" s="11" t="str">
        <f>'Customer Response Tracker'!M48</f>
        <v>Referral reward</v>
      </c>
      <c r="H13" s="11" t="str">
        <f t="shared" si="0"/>
        <v>Service / Experience</v>
      </c>
      <c r="I13" s="11" t="str">
        <f>'Customer Response Tracker'!L48</f>
        <v>Yes</v>
      </c>
      <c r="J13" s="11">
        <f>'Customer Response Tracker'!H48</f>
        <v>291</v>
      </c>
    </row>
    <row r="14" spans="1:10" ht="15" customHeight="1" x14ac:dyDescent="0.3">
      <c r="A14" s="11" t="str">
        <f>'At-Risk Analysis'!A54</f>
        <v>M050</v>
      </c>
      <c r="B14" s="11">
        <f>'At-Risk Analysis'!B54</f>
        <v>4</v>
      </c>
      <c r="C14" s="11">
        <f>'At-Risk Analysis'!C54</f>
        <v>1</v>
      </c>
      <c r="D14" s="11">
        <f>'At-Risk Analysis'!E54</f>
        <v>38</v>
      </c>
      <c r="E14" s="11">
        <f>'Customer Response Tracker'!I54</f>
        <v>2</v>
      </c>
      <c r="F14" s="11" t="str">
        <f>'Customer Response Tracker'!K54</f>
        <v>Sometimes the momos are not served hot enough</v>
      </c>
      <c r="G14" s="11" t="str">
        <f>'Customer Response Tracker'!M54</f>
        <v>Loyalty stamp card</v>
      </c>
      <c r="H14" s="11" t="str">
        <f t="shared" si="0"/>
        <v>Product / Quality</v>
      </c>
      <c r="I14" s="11" t="str">
        <f>'Customer Response Tracker'!L54</f>
        <v>Yes</v>
      </c>
      <c r="J14" s="11">
        <f>'Customer Response Tracker'!H54</f>
        <v>372</v>
      </c>
    </row>
    <row r="15" spans="1:10" ht="15" customHeight="1" x14ac:dyDescent="0.3">
      <c r="A15" s="11" t="str">
        <f>'At-Risk Analysis'!A60</f>
        <v>M056</v>
      </c>
      <c r="B15" s="11">
        <f>'At-Risk Analysis'!B60</f>
        <v>8</v>
      </c>
      <c r="C15" s="11">
        <f>'At-Risk Analysis'!C60</f>
        <v>1</v>
      </c>
      <c r="D15" s="11">
        <f>'At-Risk Analysis'!E60</f>
        <v>36</v>
      </c>
      <c r="E15" s="11">
        <f>'Customer Response Tracker'!I60</f>
        <v>1</v>
      </c>
      <c r="F15" s="11" t="str">
        <f>'Customer Response Tracker'!K60</f>
        <v>Busy college schedule leaves less time to visit</v>
      </c>
      <c r="G15" s="11" t="str">
        <f>'Customer Response Tracker'!M60</f>
        <v>10% weekday discount</v>
      </c>
      <c r="H15" s="11" t="str">
        <f t="shared" si="0"/>
        <v>Time / Schedule</v>
      </c>
      <c r="I15" s="11" t="str">
        <f>'Customer Response Tracker'!L60</f>
        <v>Yes</v>
      </c>
      <c r="J15" s="11">
        <f>'Customer Response Tracker'!H60</f>
        <v>240</v>
      </c>
    </row>
    <row r="16" spans="1:10" ht="15" customHeight="1" x14ac:dyDescent="0.3">
      <c r="A16" s="11" t="str">
        <f>'At-Risk Analysis'!A67</f>
        <v>M063</v>
      </c>
      <c r="B16" s="11">
        <f>'At-Risk Analysis'!B67</f>
        <v>9</v>
      </c>
      <c r="C16" s="11">
        <f>'At-Risk Analysis'!C67</f>
        <v>3</v>
      </c>
      <c r="D16" s="11">
        <f>'At-Risk Analysis'!E67</f>
        <v>46</v>
      </c>
      <c r="E16" s="11">
        <f>'Customer Response Tracker'!I67</f>
        <v>2</v>
      </c>
      <c r="F16" s="11" t="str">
        <f>'Customer Response Tracker'!K67</f>
        <v>Packaging leaks during takeaway</v>
      </c>
      <c r="G16" s="11" t="str">
        <f>'Customer Response Tracker'!M67</f>
        <v>Free beverage add-on</v>
      </c>
      <c r="H16" s="11" t="str">
        <f t="shared" si="0"/>
        <v>Product / Quality</v>
      </c>
      <c r="I16" s="11" t="str">
        <f>'Customer Response Tracker'!L67</f>
        <v>Yes</v>
      </c>
      <c r="J16" s="11">
        <f>'Customer Response Tracker'!H67</f>
        <v>392</v>
      </c>
    </row>
    <row r="17" spans="1:10" ht="15" customHeight="1" x14ac:dyDescent="0.3">
      <c r="A17" s="11" t="str">
        <f>'At-Risk Analysis'!A74</f>
        <v>M070</v>
      </c>
      <c r="B17" s="11">
        <f>'At-Risk Analysis'!B74</f>
        <v>6</v>
      </c>
      <c r="C17" s="11">
        <f>'At-Risk Analysis'!C74</f>
        <v>2</v>
      </c>
      <c r="D17" s="11">
        <f>'At-Risk Analysis'!E74</f>
        <v>53</v>
      </c>
      <c r="E17" s="11">
        <f>'Customer Response Tracker'!I74</f>
        <v>3</v>
      </c>
      <c r="F17" s="11" t="str">
        <f>'Customer Response Tracker'!K74</f>
        <v>Would prefer more variety in Chinese starters</v>
      </c>
      <c r="G17" s="11" t="str">
        <f>'Customer Response Tracker'!M74</f>
        <v>Combo meal deal</v>
      </c>
      <c r="H17" s="11" t="str">
        <f t="shared" si="0"/>
        <v>Product / Quality</v>
      </c>
      <c r="I17" s="11" t="str">
        <f>'Customer Response Tracker'!L74</f>
        <v>Yes</v>
      </c>
      <c r="J17" s="11">
        <f>'Customer Response Tracker'!H74</f>
        <v>297</v>
      </c>
    </row>
    <row r="18" spans="1:10" ht="15" customHeight="1" x14ac:dyDescent="0.3">
      <c r="A18" s="11" t="str">
        <f>'At-Risk Analysis'!A81</f>
        <v>M077</v>
      </c>
      <c r="B18" s="11">
        <f>'At-Risk Analysis'!B81</f>
        <v>5</v>
      </c>
      <c r="C18" s="11">
        <f>'At-Risk Analysis'!C81</f>
        <v>2</v>
      </c>
      <c r="D18" s="11">
        <f>'At-Risk Analysis'!E81</f>
        <v>51</v>
      </c>
      <c r="E18" s="11">
        <f>'Customer Response Tracker'!I81</f>
        <v>4</v>
      </c>
      <c r="F18" s="11" t="str">
        <f>'Customer Response Tracker'!K81</f>
        <v>Outlet is farther from my current commute</v>
      </c>
      <c r="G18" s="11" t="str">
        <f>'Customer Response Tracker'!M81</f>
        <v>Loyalty stamp card</v>
      </c>
      <c r="H18" s="11" t="str">
        <f t="shared" si="0"/>
        <v>Convenience / Location</v>
      </c>
      <c r="I18" s="11" t="str">
        <f>'Customer Response Tracker'!L81</f>
        <v>Yes</v>
      </c>
      <c r="J18" s="11">
        <f>'Customer Response Tracker'!H81</f>
        <v>260</v>
      </c>
    </row>
    <row r="19" spans="1:10" ht="15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5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15.75" customHeight="1" x14ac:dyDescent="0.3">
      <c r="A21" s="12" t="s">
        <v>218</v>
      </c>
      <c r="B21" s="9"/>
      <c r="C21" s="9"/>
      <c r="D21" s="12" t="s">
        <v>219</v>
      </c>
      <c r="E21" s="9"/>
      <c r="F21" s="9"/>
      <c r="G21" s="9"/>
      <c r="H21" s="12" t="s">
        <v>220</v>
      </c>
      <c r="I21" s="9"/>
      <c r="J21" s="9"/>
    </row>
    <row r="22" spans="1:10" ht="15" customHeight="1" x14ac:dyDescent="0.3">
      <c r="A22" s="9" t="s">
        <v>221</v>
      </c>
      <c r="B22" s="9">
        <f>COUNTA(A5:A18)</f>
        <v>14</v>
      </c>
      <c r="C22" s="9"/>
      <c r="D22" s="9" t="s">
        <v>222</v>
      </c>
      <c r="E22" s="9">
        <f>COUNTIF($H$5:$H$18,D22)</f>
        <v>6</v>
      </c>
      <c r="F22" s="9">
        <f>E22/$B$22</f>
        <v>0.42857142857142855</v>
      </c>
      <c r="G22" s="9"/>
      <c r="H22" s="9" t="s">
        <v>49</v>
      </c>
      <c r="I22" s="9">
        <f>COUNTIF($G$5:$G$18,H22)</f>
        <v>4</v>
      </c>
      <c r="J22" s="9">
        <f>I22/$B$22</f>
        <v>0.2857142857142857</v>
      </c>
    </row>
    <row r="23" spans="1:10" ht="15" customHeight="1" x14ac:dyDescent="0.3">
      <c r="A23" s="9" t="s">
        <v>223</v>
      </c>
      <c r="B23" s="9">
        <f>AVERAGE(B5:B18)</f>
        <v>6.4285714285714288</v>
      </c>
      <c r="C23" s="9"/>
      <c r="D23" s="9" t="s">
        <v>224</v>
      </c>
      <c r="E23" s="9">
        <f>COUNTIF($H$5:$H$18,D23)</f>
        <v>4</v>
      </c>
      <c r="F23" s="9">
        <f>E23/$B$22</f>
        <v>0.2857142857142857</v>
      </c>
      <c r="G23" s="9"/>
      <c r="H23" s="9" t="s">
        <v>56</v>
      </c>
      <c r="I23" s="9">
        <f>COUNTIF($G$5:$G$18,H23)</f>
        <v>3</v>
      </c>
      <c r="J23" s="9">
        <f>I23/$B$22</f>
        <v>0.21428571428571427</v>
      </c>
    </row>
    <row r="24" spans="1:10" ht="15" customHeight="1" x14ac:dyDescent="0.3">
      <c r="A24" s="9" t="s">
        <v>225</v>
      </c>
      <c r="B24" s="9">
        <f>AVERAGE(C5:C18)</f>
        <v>1.7857142857142858</v>
      </c>
      <c r="C24" s="9"/>
      <c r="D24" s="9" t="s">
        <v>226</v>
      </c>
      <c r="E24" s="9">
        <f>COUNTIF($H$5:$H$18,D24)</f>
        <v>2</v>
      </c>
      <c r="F24" s="9">
        <f>E24/$B$22</f>
        <v>0.14285714285714285</v>
      </c>
      <c r="G24" s="9"/>
      <c r="H24" s="9" t="s">
        <v>42</v>
      </c>
      <c r="I24" s="9">
        <f>COUNTIF($G$5:$G$18,H24)</f>
        <v>3</v>
      </c>
      <c r="J24" s="9">
        <f>I24/$B$22</f>
        <v>0.21428571428571427</v>
      </c>
    </row>
    <row r="25" spans="1:10" ht="15" customHeight="1" x14ac:dyDescent="0.3">
      <c r="A25" s="9" t="s">
        <v>227</v>
      </c>
      <c r="B25" s="9">
        <f>AVERAGE(B5:B18)-AVERAGE(C5:C18)</f>
        <v>4.6428571428571432</v>
      </c>
      <c r="C25" s="9"/>
      <c r="D25" s="9" t="s">
        <v>228</v>
      </c>
      <c r="E25" s="9">
        <f>COUNTIF($H$5:$H$18,D25)</f>
        <v>1</v>
      </c>
      <c r="F25" s="9">
        <f>E25/$B$22</f>
        <v>7.1428571428571425E-2</v>
      </c>
      <c r="G25" s="9"/>
      <c r="H25" s="9" t="s">
        <v>82</v>
      </c>
      <c r="I25" s="9">
        <f>COUNTIF($G$5:$G$18,H25)</f>
        <v>3</v>
      </c>
      <c r="J25" s="9">
        <f>I25/$B$22</f>
        <v>0.21428571428571427</v>
      </c>
    </row>
    <row r="26" spans="1:10" ht="15" customHeight="1" x14ac:dyDescent="0.3">
      <c r="A26" s="9" t="s">
        <v>229</v>
      </c>
      <c r="B26" s="9">
        <f>AVERAGE(D5:D18)</f>
        <v>41.571428571428569</v>
      </c>
      <c r="C26" s="9"/>
      <c r="D26" s="9" t="s">
        <v>230</v>
      </c>
      <c r="E26" s="9">
        <f>COUNTIF($H$5:$H$18,D26)</f>
        <v>1</v>
      </c>
      <c r="F26" s="9">
        <f>E26/$B$22</f>
        <v>7.1428571428571425E-2</v>
      </c>
      <c r="G26" s="9"/>
      <c r="H26" s="9" t="s">
        <v>75</v>
      </c>
      <c r="I26" s="9">
        <f>COUNTIF($G$5:$G$18,H26)</f>
        <v>1</v>
      </c>
      <c r="J26" s="9">
        <f>I26/$B$22</f>
        <v>7.1428571428571425E-2</v>
      </c>
    </row>
    <row r="27" spans="1:10" ht="15" customHeight="1" x14ac:dyDescent="0.3">
      <c r="A27" s="9" t="s">
        <v>231</v>
      </c>
      <c r="B27" s="9">
        <f>AVERAGE(E5:E18)</f>
        <v>2.5</v>
      </c>
      <c r="C27" s="9"/>
      <c r="D27" s="9" t="s">
        <v>200</v>
      </c>
      <c r="E27" s="9">
        <f>SUM(E22:E26)</f>
        <v>14</v>
      </c>
      <c r="F27" s="9">
        <f>SUM(F22:F26)</f>
        <v>0.99999999999999978</v>
      </c>
      <c r="G27" s="9"/>
      <c r="H27" s="9" t="s">
        <v>200</v>
      </c>
      <c r="I27" s="9">
        <f>SUM(I22:I26)</f>
        <v>14</v>
      </c>
      <c r="J27" s="9">
        <f>SUM(J22:J26)</f>
        <v>1</v>
      </c>
    </row>
    <row r="28" spans="1:10" ht="15" customHeight="1" x14ac:dyDescent="0.3">
      <c r="A28" t="s">
        <v>232</v>
      </c>
      <c r="B28">
        <f>COUNTIF(E5:E18,"&lt;=2")</f>
        <v>8</v>
      </c>
    </row>
    <row r="29" spans="1:10" ht="15" customHeight="1" x14ac:dyDescent="0.3">
      <c r="A29" t="s">
        <v>233</v>
      </c>
      <c r="B29">
        <f>B28/B22</f>
        <v>0.5714285714285714</v>
      </c>
    </row>
    <row r="30" spans="1:10" ht="14.4" x14ac:dyDescent="0.3">
      <c r="A30" t="s">
        <v>234</v>
      </c>
      <c r="B30">
        <f>AVERAGE(J5:J18)</f>
        <v>312.42857142857144</v>
      </c>
    </row>
  </sheetData>
  <mergeCells count="2">
    <mergeCell ref="A1:J1"/>
    <mergeCell ref="A2:J2"/>
  </mergeCells>
  <pageMargins left="0.25" right="0.25" top="0.5" bottom="0.5" header="0.511811023622047" footer="0.511811023622047"/>
  <pageSetup fitToHeight="0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7"/>
  <sheetViews>
    <sheetView showGridLines="0" zoomScaleNormal="100" workbookViewId="0">
      <selection activeCell="A2" sqref="A2:I7"/>
    </sheetView>
  </sheetViews>
  <sheetFormatPr defaultColWidth="8.6640625" defaultRowHeight="15" customHeight="1" x14ac:dyDescent="0.3"/>
  <cols>
    <col min="1" max="1" width="26" customWidth="1"/>
    <col min="2" max="2" width="38" customWidth="1"/>
    <col min="3" max="3" width="28" customWidth="1"/>
    <col min="4" max="4" width="55" customWidth="1"/>
    <col min="5" max="5" width="45" customWidth="1"/>
    <col min="6" max="6" width="34" customWidth="1"/>
    <col min="7" max="7" width="28" customWidth="1"/>
    <col min="8" max="8" width="10" customWidth="1"/>
  </cols>
  <sheetData>
    <row r="1" spans="1:9" ht="27.75" customHeight="1" x14ac:dyDescent="0.3">
      <c r="A1" s="26" t="s">
        <v>235</v>
      </c>
      <c r="B1" s="27"/>
      <c r="C1" s="27"/>
      <c r="D1" s="27"/>
      <c r="E1" s="27"/>
      <c r="F1" s="27"/>
      <c r="G1" s="27"/>
      <c r="H1" s="27"/>
    </row>
    <row r="2" spans="1:9" ht="15" customHeight="1" x14ac:dyDescent="0.3">
      <c r="A2" s="31" t="s">
        <v>236</v>
      </c>
      <c r="B2" s="31"/>
      <c r="C2" s="31"/>
      <c r="D2" s="31"/>
      <c r="E2" s="31"/>
      <c r="F2" s="31"/>
      <c r="G2" s="31"/>
      <c r="H2" s="31"/>
      <c r="I2" s="9"/>
    </row>
    <row r="3" spans="1:9" ht="15" customHeight="1" x14ac:dyDescent="0.3">
      <c r="A3" s="9"/>
      <c r="B3" s="9"/>
      <c r="C3" s="9"/>
      <c r="D3" s="9"/>
      <c r="E3" s="9"/>
      <c r="F3" s="9"/>
      <c r="G3" s="9"/>
      <c r="H3" s="9"/>
      <c r="I3" s="9"/>
    </row>
    <row r="4" spans="1:9" ht="15" customHeight="1" x14ac:dyDescent="0.3">
      <c r="A4" s="13" t="s">
        <v>237</v>
      </c>
      <c r="B4" s="13" t="s">
        <v>238</v>
      </c>
      <c r="C4" s="13" t="s">
        <v>239</v>
      </c>
      <c r="D4" s="13" t="s">
        <v>240</v>
      </c>
      <c r="E4" s="13" t="s">
        <v>241</v>
      </c>
      <c r="F4" s="13" t="s">
        <v>242</v>
      </c>
      <c r="G4" s="13" t="s">
        <v>243</v>
      </c>
      <c r="H4" s="13" t="s">
        <v>244</v>
      </c>
      <c r="I4" s="9"/>
    </row>
    <row r="5" spans="1:9" ht="41.25" customHeight="1" x14ac:dyDescent="0.3">
      <c r="A5" s="11" t="s">
        <v>245</v>
      </c>
      <c r="B5" s="11" t="s">
        <v>246</v>
      </c>
      <c r="C5" s="11" t="s">
        <v>247</v>
      </c>
      <c r="D5" s="11" t="s">
        <v>248</v>
      </c>
      <c r="E5" s="11" t="s">
        <v>249</v>
      </c>
      <c r="F5" s="11" t="s">
        <v>250</v>
      </c>
      <c r="G5" s="11" t="s">
        <v>251</v>
      </c>
      <c r="H5" s="11" t="s">
        <v>2</v>
      </c>
      <c r="I5" s="9"/>
    </row>
    <row r="6" spans="1:9" ht="27.75" customHeight="1" x14ac:dyDescent="0.3">
      <c r="A6" s="11" t="s">
        <v>252</v>
      </c>
      <c r="B6" s="11" t="s">
        <v>253</v>
      </c>
      <c r="C6" s="11" t="s">
        <v>254</v>
      </c>
      <c r="D6" s="11" t="s">
        <v>255</v>
      </c>
      <c r="E6" s="11" t="s">
        <v>256</v>
      </c>
      <c r="F6" s="11" t="s">
        <v>257</v>
      </c>
      <c r="G6" s="11" t="s">
        <v>258</v>
      </c>
      <c r="H6" s="11" t="s">
        <v>259</v>
      </c>
      <c r="I6" s="9"/>
    </row>
    <row r="7" spans="1:9" ht="27.75" customHeight="1" x14ac:dyDescent="0.3">
      <c r="A7" s="11" t="s">
        <v>260</v>
      </c>
      <c r="B7" s="11" t="s">
        <v>261</v>
      </c>
      <c r="C7" s="11" t="s">
        <v>262</v>
      </c>
      <c r="D7" s="11" t="s">
        <v>263</v>
      </c>
      <c r="E7" s="11" t="s">
        <v>264</v>
      </c>
      <c r="F7" s="11" t="s">
        <v>265</v>
      </c>
      <c r="G7" s="11" t="s">
        <v>258</v>
      </c>
      <c r="H7" s="11" t="s">
        <v>266</v>
      </c>
      <c r="I7" s="9"/>
    </row>
  </sheetData>
  <mergeCells count="2">
    <mergeCell ref="A2:H2"/>
    <mergeCell ref="A1:H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27"/>
  <sheetViews>
    <sheetView showGridLines="0" zoomScaleNormal="100" workbookViewId="0">
      <pane ySplit="4" topLeftCell="A16" activePane="bottomLeft" state="frozen"/>
      <selection pane="bottomLeft" activeCell="B24" sqref="B24"/>
    </sheetView>
  </sheetViews>
  <sheetFormatPr defaultColWidth="8.6640625" defaultRowHeight="15" customHeight="1" x14ac:dyDescent="0.3"/>
  <cols>
    <col min="1" max="1" width="30" customWidth="1"/>
    <col min="2" max="2" width="55" customWidth="1"/>
    <col min="3" max="3" width="30" customWidth="1"/>
    <col min="4" max="4" width="38" customWidth="1"/>
    <col min="5" max="5" width="34" customWidth="1"/>
    <col min="6" max="6" width="40" customWidth="1"/>
    <col min="7" max="7" width="22" customWidth="1"/>
    <col min="8" max="8" width="46" customWidth="1"/>
    <col min="9" max="9" width="14" customWidth="1"/>
  </cols>
  <sheetData>
    <row r="1" spans="1:9" ht="27.75" customHeight="1" x14ac:dyDescent="0.3">
      <c r="A1" s="26" t="s">
        <v>267</v>
      </c>
      <c r="B1" s="27"/>
      <c r="C1" s="27"/>
      <c r="D1" s="27"/>
      <c r="E1" s="27"/>
      <c r="F1" s="27"/>
      <c r="G1" s="27"/>
      <c r="H1" s="27"/>
      <c r="I1" s="27"/>
    </row>
    <row r="2" spans="1:9" ht="15" customHeight="1" x14ac:dyDescent="0.3">
      <c r="A2" s="36"/>
      <c r="B2" s="27"/>
      <c r="C2" s="27"/>
      <c r="D2" s="27"/>
      <c r="E2" s="27"/>
      <c r="F2" s="27"/>
      <c r="G2" s="27"/>
      <c r="H2" s="27"/>
      <c r="I2" s="27"/>
    </row>
    <row r="4" spans="1:9" ht="15" customHeight="1" x14ac:dyDescent="0.3">
      <c r="A4" s="4" t="s">
        <v>268</v>
      </c>
      <c r="B4" s="4" t="s">
        <v>269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274</v>
      </c>
      <c r="H4" s="4" t="s">
        <v>275</v>
      </c>
      <c r="I4" s="4" t="s">
        <v>276</v>
      </c>
    </row>
    <row r="5" spans="1:9" ht="41.25" customHeight="1" x14ac:dyDescent="0.3">
      <c r="A5" s="3" t="s">
        <v>245</v>
      </c>
      <c r="B5" s="3" t="s">
        <v>277</v>
      </c>
      <c r="C5" s="3" t="s">
        <v>278</v>
      </c>
      <c r="D5" s="3" t="s">
        <v>279</v>
      </c>
      <c r="E5" s="3" t="s">
        <v>280</v>
      </c>
      <c r="F5" s="3" t="s">
        <v>281</v>
      </c>
      <c r="G5" s="3" t="s">
        <v>282</v>
      </c>
      <c r="H5" s="3" t="s">
        <v>283</v>
      </c>
      <c r="I5" s="3" t="s">
        <v>284</v>
      </c>
    </row>
    <row r="6" spans="1:9" ht="27.75" customHeight="1" x14ac:dyDescent="0.3">
      <c r="A6" s="3" t="s">
        <v>252</v>
      </c>
      <c r="B6" s="3" t="s">
        <v>285</v>
      </c>
      <c r="C6" s="3" t="s">
        <v>286</v>
      </c>
      <c r="D6" s="3" t="s">
        <v>279</v>
      </c>
      <c r="E6" s="3" t="s">
        <v>287</v>
      </c>
      <c r="F6" s="3" t="s">
        <v>288</v>
      </c>
      <c r="G6" s="3" t="s">
        <v>289</v>
      </c>
      <c r="H6" s="3" t="s">
        <v>290</v>
      </c>
      <c r="I6" s="3" t="s">
        <v>284</v>
      </c>
    </row>
    <row r="7" spans="1:9" ht="41.25" customHeight="1" x14ac:dyDescent="0.3">
      <c r="A7" s="3" t="s">
        <v>260</v>
      </c>
      <c r="B7" s="3" t="s">
        <v>291</v>
      </c>
      <c r="C7" s="3" t="s">
        <v>286</v>
      </c>
      <c r="D7" s="3" t="s">
        <v>279</v>
      </c>
      <c r="E7" s="3" t="s">
        <v>292</v>
      </c>
      <c r="F7" s="3" t="s">
        <v>293</v>
      </c>
      <c r="G7" s="3" t="s">
        <v>294</v>
      </c>
      <c r="H7" s="3" t="s">
        <v>295</v>
      </c>
      <c r="I7" s="3" t="s">
        <v>284</v>
      </c>
    </row>
    <row r="10" spans="1:9" ht="15.75" customHeight="1" x14ac:dyDescent="0.3">
      <c r="A10" s="23" t="s">
        <v>296</v>
      </c>
      <c r="B10" s="24"/>
      <c r="D10" s="22" t="s">
        <v>297</v>
      </c>
      <c r="E10" s="19"/>
      <c r="F10" s="19"/>
      <c r="G10" s="19"/>
      <c r="H10" s="19"/>
      <c r="I10" s="19"/>
    </row>
    <row r="11" spans="1:9" ht="15" customHeight="1" x14ac:dyDescent="0.3">
      <c r="A11" s="24" t="s">
        <v>298</v>
      </c>
      <c r="B11" s="24">
        <f>'At-Risk Analysis'!B87</f>
        <v>14</v>
      </c>
      <c r="D11" s="34" t="s">
        <v>299</v>
      </c>
      <c r="E11" s="35"/>
      <c r="F11" s="35"/>
      <c r="G11" s="35"/>
      <c r="H11" s="35"/>
      <c r="I11" s="35"/>
    </row>
    <row r="12" spans="1:9" ht="15" customHeight="1" x14ac:dyDescent="0.3">
      <c r="A12" s="24" t="s">
        <v>300</v>
      </c>
      <c r="B12" s="24">
        <v>0.3</v>
      </c>
      <c r="D12" s="34" t="s">
        <v>301</v>
      </c>
      <c r="E12" s="35"/>
      <c r="F12" s="35"/>
      <c r="G12" s="35"/>
      <c r="H12" s="35"/>
      <c r="I12" s="35"/>
    </row>
    <row r="13" spans="1:9" ht="15" customHeight="1" x14ac:dyDescent="0.3">
      <c r="A13" s="24" t="s">
        <v>302</v>
      </c>
      <c r="B13" s="24">
        <f>B11*B12</f>
        <v>4.2</v>
      </c>
      <c r="D13" s="34" t="s">
        <v>303</v>
      </c>
      <c r="E13" s="35"/>
      <c r="F13" s="35"/>
      <c r="G13" s="35"/>
      <c r="H13" s="35"/>
      <c r="I13" s="35"/>
    </row>
    <row r="14" spans="1:9" ht="15" customHeight="1" x14ac:dyDescent="0.3">
      <c r="A14" s="24" t="s">
        <v>304</v>
      </c>
      <c r="B14" s="24">
        <f>'At-Risk Insights'!B24</f>
        <v>1.7857142857142858</v>
      </c>
      <c r="D14" s="19"/>
      <c r="E14" s="19"/>
      <c r="F14" s="19"/>
      <c r="G14" s="19"/>
      <c r="H14" s="19"/>
      <c r="I14" s="19"/>
    </row>
    <row r="15" spans="1:9" ht="15" customHeight="1" x14ac:dyDescent="0.3">
      <c r="A15" s="24" t="s">
        <v>305</v>
      </c>
      <c r="B15" s="24">
        <f>'At-Risk Insights'!B23</f>
        <v>6.4285714285714288</v>
      </c>
    </row>
    <row r="16" spans="1:9" ht="15" customHeight="1" x14ac:dyDescent="0.3">
      <c r="A16" s="24" t="s">
        <v>306</v>
      </c>
      <c r="B16" s="24">
        <f>B15-B14</f>
        <v>4.6428571428571432</v>
      </c>
    </row>
    <row r="17" spans="1:4" ht="15" customHeight="1" x14ac:dyDescent="0.3">
      <c r="A17" s="24" t="s">
        <v>307</v>
      </c>
      <c r="B17" s="24">
        <f>'At-Risk Insights'!B30</f>
        <v>312.42857142857144</v>
      </c>
    </row>
    <row r="18" spans="1:4" ht="15" customHeight="1" x14ac:dyDescent="0.3">
      <c r="A18" s="24" t="s">
        <v>308</v>
      </c>
      <c r="B18" s="24">
        <f>B13*2</f>
        <v>8.4</v>
      </c>
    </row>
    <row r="19" spans="1:4" ht="15" customHeight="1" x14ac:dyDescent="0.3">
      <c r="A19" s="24" t="s">
        <v>309</v>
      </c>
      <c r="B19" s="24">
        <f>B18*B17</f>
        <v>2624.4</v>
      </c>
    </row>
    <row r="20" spans="1:4" ht="15" customHeight="1" x14ac:dyDescent="0.3">
      <c r="A20" s="24"/>
      <c r="B20" s="24"/>
    </row>
    <row r="21" spans="1:4" ht="15.75" customHeight="1" x14ac:dyDescent="0.3">
      <c r="A21" s="1" t="s">
        <v>310</v>
      </c>
    </row>
    <row r="22" spans="1:4" ht="15" customHeight="1" x14ac:dyDescent="0.3">
      <c r="A22" s="4" t="s">
        <v>272</v>
      </c>
      <c r="B22" s="4" t="s">
        <v>311</v>
      </c>
      <c r="C22" s="4" t="s">
        <v>312</v>
      </c>
      <c r="D22" s="4" t="s">
        <v>313</v>
      </c>
    </row>
    <row r="23" spans="1:4" ht="27.75" customHeight="1" x14ac:dyDescent="0.3">
      <c r="A23" s="3" t="s">
        <v>314</v>
      </c>
      <c r="B23" s="3" t="s">
        <v>315</v>
      </c>
      <c r="C23" s="3" t="s">
        <v>316</v>
      </c>
      <c r="D23" s="3" t="s">
        <v>317</v>
      </c>
    </row>
    <row r="24" spans="1:4" ht="27.75" customHeight="1" x14ac:dyDescent="0.3">
      <c r="A24" s="3" t="s">
        <v>318</v>
      </c>
      <c r="B24" s="3" t="s">
        <v>319</v>
      </c>
      <c r="C24" s="3" t="s">
        <v>320</v>
      </c>
      <c r="D24" s="3" t="s">
        <v>321</v>
      </c>
    </row>
    <row r="25" spans="1:4" ht="27.75" customHeight="1" x14ac:dyDescent="0.3">
      <c r="A25" s="3" t="s">
        <v>215</v>
      </c>
      <c r="B25" s="3" t="s">
        <v>322</v>
      </c>
      <c r="C25" s="3" t="s">
        <v>323</v>
      </c>
      <c r="D25" s="3" t="s">
        <v>324</v>
      </c>
    </row>
    <row r="26" spans="1:4" ht="15" customHeight="1" x14ac:dyDescent="0.3">
      <c r="A26" s="3" t="s">
        <v>325</v>
      </c>
      <c r="B26" s="3" t="s">
        <v>326</v>
      </c>
      <c r="C26" s="3" t="s">
        <v>327</v>
      </c>
      <c r="D26" s="3" t="s">
        <v>328</v>
      </c>
    </row>
    <row r="27" spans="1:4" ht="15" customHeight="1" x14ac:dyDescent="0.3">
      <c r="A27" s="3" t="s">
        <v>329</v>
      </c>
      <c r="B27" s="3" t="s">
        <v>326</v>
      </c>
      <c r="C27" s="3" t="s">
        <v>330</v>
      </c>
      <c r="D27" s="3" t="s">
        <v>331</v>
      </c>
    </row>
  </sheetData>
  <mergeCells count="5">
    <mergeCell ref="D11:I11"/>
    <mergeCell ref="A2:I2"/>
    <mergeCell ref="D13:I13"/>
    <mergeCell ref="A1:I1"/>
    <mergeCell ref="D12:I12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2"/>
  <sheetViews>
    <sheetView showGridLines="0" zoomScaleNormal="100" workbookViewId="0">
      <selection activeCell="A10" sqref="A10:H12"/>
    </sheetView>
  </sheetViews>
  <sheetFormatPr defaultColWidth="8.6640625" defaultRowHeight="15" customHeight="1" x14ac:dyDescent="0.3"/>
  <cols>
    <col min="1" max="1" width="10" customWidth="1"/>
    <col min="2" max="2" width="14" customWidth="1"/>
    <col min="3" max="3" width="18" customWidth="1"/>
    <col min="4" max="4" width="28" customWidth="1"/>
    <col min="5" max="6" width="55" customWidth="1"/>
    <col min="7" max="7" width="50" customWidth="1"/>
    <col min="8" max="8" width="38" customWidth="1"/>
  </cols>
  <sheetData>
    <row r="1" spans="1:8" ht="27.75" customHeight="1" x14ac:dyDescent="0.3">
      <c r="A1" s="26" t="s">
        <v>332</v>
      </c>
      <c r="B1" s="27"/>
      <c r="C1" s="27"/>
      <c r="D1" s="27"/>
      <c r="E1" s="27"/>
      <c r="F1" s="27"/>
      <c r="G1" s="27"/>
      <c r="H1" s="27"/>
    </row>
    <row r="2" spans="1:8" ht="15" customHeight="1" x14ac:dyDescent="0.3">
      <c r="A2" s="29"/>
      <c r="B2" s="27"/>
      <c r="C2" s="27"/>
      <c r="D2" s="27"/>
      <c r="E2" s="27"/>
      <c r="F2" s="27"/>
      <c r="G2" s="27"/>
      <c r="H2" s="27"/>
    </row>
    <row r="4" spans="1:8" ht="15" customHeight="1" x14ac:dyDescent="0.3">
      <c r="A4" s="13" t="s">
        <v>333</v>
      </c>
      <c r="B4" s="13" t="s">
        <v>334</v>
      </c>
      <c r="C4" s="13" t="s">
        <v>335</v>
      </c>
      <c r="D4" s="13" t="s">
        <v>336</v>
      </c>
      <c r="E4" s="13" t="s">
        <v>337</v>
      </c>
      <c r="F4" s="13" t="s">
        <v>338</v>
      </c>
      <c r="G4" s="13" t="s">
        <v>339</v>
      </c>
      <c r="H4" s="13" t="s">
        <v>340</v>
      </c>
    </row>
    <row r="5" spans="1:8" ht="54.75" customHeight="1" x14ac:dyDescent="0.3">
      <c r="A5" s="11">
        <v>1</v>
      </c>
      <c r="B5" s="11" t="s">
        <v>373</v>
      </c>
      <c r="C5" s="11" t="s">
        <v>341</v>
      </c>
      <c r="D5" s="11" t="s">
        <v>342</v>
      </c>
      <c r="E5" s="11" t="s">
        <v>343</v>
      </c>
      <c r="F5" s="11" t="s">
        <v>344</v>
      </c>
      <c r="G5" s="11" t="s">
        <v>345</v>
      </c>
      <c r="H5" s="11" t="s">
        <v>346</v>
      </c>
    </row>
    <row r="6" spans="1:8" ht="41.25" customHeight="1" x14ac:dyDescent="0.3">
      <c r="A6" s="11">
        <v>2</v>
      </c>
      <c r="B6" s="11" t="s">
        <v>374</v>
      </c>
      <c r="C6" s="11" t="s">
        <v>347</v>
      </c>
      <c r="D6" s="11" t="s">
        <v>348</v>
      </c>
      <c r="E6" s="11" t="s">
        <v>349</v>
      </c>
      <c r="F6" s="11" t="s">
        <v>350</v>
      </c>
      <c r="G6" s="11" t="s">
        <v>351</v>
      </c>
      <c r="H6" s="11" t="s">
        <v>352</v>
      </c>
    </row>
    <row r="7" spans="1:8" ht="15" customHeight="1" x14ac:dyDescent="0.3">
      <c r="A7" s="9"/>
      <c r="B7" s="9"/>
      <c r="C7" s="9"/>
      <c r="D7" s="9"/>
      <c r="E7" s="9"/>
      <c r="F7" s="9"/>
      <c r="G7" s="9"/>
      <c r="H7" s="9"/>
    </row>
    <row r="8" spans="1:8" ht="15" customHeight="1" x14ac:dyDescent="0.3">
      <c r="A8" s="9"/>
      <c r="B8" s="9"/>
      <c r="C8" s="9"/>
      <c r="D8" s="9"/>
      <c r="E8" s="9"/>
      <c r="F8" s="9"/>
      <c r="G8" s="9"/>
      <c r="H8" s="9"/>
    </row>
    <row r="9" spans="1:8" ht="15" customHeight="1" x14ac:dyDescent="0.3">
      <c r="A9" s="12" t="s">
        <v>353</v>
      </c>
      <c r="B9" s="9"/>
      <c r="C9" s="9"/>
      <c r="D9" s="9"/>
      <c r="E9" s="9"/>
      <c r="F9" s="9"/>
      <c r="G9" s="9"/>
      <c r="H9" s="9"/>
    </row>
    <row r="10" spans="1:8" ht="15" customHeight="1" x14ac:dyDescent="0.3">
      <c r="A10" s="37" t="s">
        <v>354</v>
      </c>
      <c r="B10" s="31"/>
      <c r="C10" s="31"/>
      <c r="D10" s="31"/>
      <c r="E10" s="31"/>
      <c r="F10" s="31"/>
      <c r="G10" s="31"/>
      <c r="H10" s="31"/>
    </row>
    <row r="11" spans="1:8" ht="15" customHeight="1" x14ac:dyDescent="0.3">
      <c r="A11" s="31"/>
      <c r="B11" s="31"/>
      <c r="C11" s="31"/>
      <c r="D11" s="31"/>
      <c r="E11" s="31"/>
      <c r="F11" s="31"/>
      <c r="G11" s="31"/>
      <c r="H11" s="31"/>
    </row>
    <row r="12" spans="1:8" ht="15" customHeight="1" x14ac:dyDescent="0.3">
      <c r="A12" s="31"/>
      <c r="B12" s="31"/>
      <c r="C12" s="31"/>
      <c r="D12" s="31"/>
      <c r="E12" s="31"/>
      <c r="F12" s="31"/>
      <c r="G12" s="31"/>
      <c r="H12" s="31"/>
    </row>
  </sheetData>
  <mergeCells count="3">
    <mergeCell ref="A2:H2"/>
    <mergeCell ref="A10:H12"/>
    <mergeCell ref="A1:H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7"/>
  <sheetViews>
    <sheetView showGridLines="0" zoomScaleNormal="100" workbookViewId="0">
      <selection activeCell="G9" sqref="G9"/>
    </sheetView>
  </sheetViews>
  <sheetFormatPr defaultColWidth="8.6640625" defaultRowHeight="15" customHeight="1" x14ac:dyDescent="0.3"/>
  <cols>
    <col min="1" max="1" width="28" customWidth="1"/>
    <col min="2" max="2" width="90" customWidth="1"/>
    <col min="3" max="4" width="12" customWidth="1"/>
  </cols>
  <sheetData>
    <row r="1" spans="1:4" ht="27.75" customHeight="1" x14ac:dyDescent="0.3">
      <c r="A1" s="26" t="s">
        <v>355</v>
      </c>
      <c r="B1" s="27"/>
      <c r="C1" s="27"/>
      <c r="D1" s="27"/>
    </row>
    <row r="3" spans="1:4" ht="15" customHeight="1" x14ac:dyDescent="0.3">
      <c r="A3" s="20" t="s">
        <v>23</v>
      </c>
      <c r="B3" s="21" t="s">
        <v>356</v>
      </c>
    </row>
    <row r="4" spans="1:4" ht="15" customHeight="1" x14ac:dyDescent="0.3">
      <c r="A4" s="20" t="s">
        <v>24</v>
      </c>
      <c r="B4" s="21" t="s">
        <v>357</v>
      </c>
    </row>
    <row r="5" spans="1:4" ht="15" customHeight="1" x14ac:dyDescent="0.3">
      <c r="A5" s="20" t="s">
        <v>26</v>
      </c>
      <c r="B5" s="21" t="s">
        <v>358</v>
      </c>
    </row>
    <row r="6" spans="1:4" ht="15" customHeight="1" x14ac:dyDescent="0.3">
      <c r="A6" s="20" t="s">
        <v>27</v>
      </c>
      <c r="B6" s="21" t="s">
        <v>359</v>
      </c>
    </row>
    <row r="7" spans="1:4" ht="15" customHeight="1" x14ac:dyDescent="0.3">
      <c r="A7" s="20" t="s">
        <v>28</v>
      </c>
      <c r="B7" s="21" t="s">
        <v>360</v>
      </c>
    </row>
    <row r="8" spans="1:4" ht="15" customHeight="1" x14ac:dyDescent="0.3">
      <c r="A8" s="20" t="s">
        <v>175</v>
      </c>
      <c r="B8" s="21" t="s">
        <v>361</v>
      </c>
    </row>
    <row r="9" spans="1:4" ht="15" customHeight="1" x14ac:dyDescent="0.3">
      <c r="A9" s="20" t="s">
        <v>176</v>
      </c>
      <c r="B9" s="21" t="s">
        <v>362</v>
      </c>
    </row>
    <row r="10" spans="1:4" ht="15" customHeight="1" x14ac:dyDescent="0.3">
      <c r="A10" s="20" t="s">
        <v>177</v>
      </c>
      <c r="B10" s="21" t="s">
        <v>363</v>
      </c>
    </row>
    <row r="11" spans="1:4" ht="15" customHeight="1" x14ac:dyDescent="0.3">
      <c r="A11" s="20" t="s">
        <v>179</v>
      </c>
      <c r="B11" s="21" t="s">
        <v>364</v>
      </c>
    </row>
    <row r="12" spans="1:4" ht="15" customHeight="1" x14ac:dyDescent="0.3">
      <c r="A12" s="20" t="s">
        <v>180</v>
      </c>
      <c r="B12" s="21" t="s">
        <v>365</v>
      </c>
    </row>
    <row r="13" spans="1:4" ht="15" customHeight="1" x14ac:dyDescent="0.3">
      <c r="A13" s="20" t="s">
        <v>366</v>
      </c>
      <c r="B13" s="21" t="s">
        <v>367</v>
      </c>
    </row>
    <row r="14" spans="1:4" ht="15" customHeight="1" x14ac:dyDescent="0.3">
      <c r="A14" s="20" t="s">
        <v>368</v>
      </c>
      <c r="B14" s="21" t="s">
        <v>369</v>
      </c>
    </row>
    <row r="15" spans="1:4" ht="15" customHeight="1" x14ac:dyDescent="0.3">
      <c r="A15" s="20" t="s">
        <v>370</v>
      </c>
      <c r="B15" s="21" t="s">
        <v>371</v>
      </c>
    </row>
    <row r="16" spans="1:4" ht="15" customHeight="1" x14ac:dyDescent="0.3">
      <c r="A16" s="20" t="s">
        <v>276</v>
      </c>
      <c r="B16" s="21" t="s">
        <v>372</v>
      </c>
    </row>
    <row r="17" spans="1:2" ht="15" customHeight="1" x14ac:dyDescent="0.3">
      <c r="A17" s="19"/>
      <c r="B17" s="19"/>
    </row>
  </sheetData>
  <mergeCells count="1">
    <mergeCell ref="A1:D1"/>
  </mergeCells>
  <pageMargins left="0.25" right="0.25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&amp; Guide</vt:lpstr>
      <vt:lpstr>Customer Response Tracker</vt:lpstr>
      <vt:lpstr>RFM Analysis</vt:lpstr>
      <vt:lpstr>Customer Segmentation</vt:lpstr>
      <vt:lpstr>At-Risk Analysis</vt:lpstr>
      <vt:lpstr>At-Risk Insights</vt:lpstr>
      <vt:lpstr>Retention Playbook</vt:lpstr>
      <vt:lpstr>Implementation &amp; Impact</vt:lpstr>
      <vt:lpstr>Field Visit Log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jain</cp:lastModifiedBy>
  <cp:revision>0</cp:revision>
  <dcterms:created xsi:type="dcterms:W3CDTF">2026-09-07T19:47:31Z</dcterms:created>
  <dcterms:modified xsi:type="dcterms:W3CDTF">2026-09-08T18:17:59Z</dcterms:modified>
  <dc:language>en-US</dc:language>
</cp:coreProperties>
</file>